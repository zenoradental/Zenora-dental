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ipeline" sheetId="2" state="visible" r:id="rId4"/>
    <sheet name="Prospect List" sheetId="3" state="visible" r:id="rId5"/>
    <sheet name="Pricing Calculator" sheetId="4" state="visible" r:id="rId6"/>
    <sheet name="Revenue Model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<sst xmlns="http://schemas.openxmlformats.org/spreadsheetml/2006/main" count="220" uniqueCount="205">
  <si>
    <t xml:space="preserve">Zenora Dental — Sales Operations Workbook</t>
  </si>
  <si>
    <t xml:space="preserve">WhiteFox AI · built 6 Aug 2026 · all currency in INR (₹)</t>
  </si>
  <si>
    <t xml:space="preserve">HOW TO USE THIS FILE</t>
  </si>
  <si>
    <t xml:space="preserve">Pipeline</t>
  </si>
  <si>
    <t xml:space="preserve">Your CRM. One row per prospect. Update 'Stage' as deals move. Everything on Dashboard reads from here.</t>
  </si>
  <si>
    <t xml:space="preserve">Prospect List</t>
  </si>
  <si>
    <t xml:space="preserve">Where you build the raw list before qualifying. Move a row into Pipeline once it clears the checks.</t>
  </si>
  <si>
    <t xml:space="preserve">Pricing Calculator</t>
  </si>
  <si>
    <t xml:space="preserve">Change the yellow cells to model a specific deal. Shows year-1 value and your true margin.</t>
  </si>
  <si>
    <t xml:space="preserve">Revenue Model</t>
  </si>
  <si>
    <t xml:space="preserve">12-month projection. Change the yellow assumptions at the top and everything below recalculates.</t>
  </si>
  <si>
    <t xml:space="preserve">Dashboard</t>
  </si>
  <si>
    <t xml:space="preserve">Read-only summary. Conversion rates, pipeline value, and where deals are dying.</t>
  </si>
  <si>
    <t xml:space="preserve">COLOUR CODE</t>
  </si>
  <si>
    <t xml:space="preserve">Yellow cells</t>
  </si>
  <si>
    <t xml:space="preserve">Inputs — you edit these.</t>
  </si>
  <si>
    <t xml:space="preserve">Blue text</t>
  </si>
  <si>
    <t xml:space="preserve">Hardcoded numbers you can change.</t>
  </si>
  <si>
    <t xml:space="preserve">Black text</t>
  </si>
  <si>
    <t xml:space="preserve">Formulas — do not overwrite; they will recalculate on their own.</t>
  </si>
  <si>
    <t xml:space="preserve">HEALTHY BENCHMARKS</t>
  </si>
  <si>
    <t xml:space="preserve">Cold email → reply</t>
  </si>
  <si>
    <t xml:space="preserve">8–15%</t>
  </si>
  <si>
    <t xml:space="preserve">Reply → demo booked</t>
  </si>
  <si>
    <t xml:space="preserve">~40%</t>
  </si>
  <si>
    <t xml:space="preserve">Demo → closed won</t>
  </si>
  <si>
    <t xml:space="preserve">25–35%. Below 20% means you are qualifying too loosely, not demoing badly.</t>
  </si>
  <si>
    <t xml:space="preserve">Time to live</t>
  </si>
  <si>
    <t xml:space="preserve">7 days or less — this is a core promise, so track it.</t>
  </si>
  <si>
    <t xml:space="preserve">Monthly churn</t>
  </si>
  <si>
    <t xml:space="preserve">Under 5%</t>
  </si>
  <si>
    <t xml:space="preserve">BEFORE YOU CHARGE ANYONE</t>
  </si>
  <si>
    <t xml:space="preserve">Read the gap report</t>
  </si>
  <si>
    <t xml:space="preserve">05_Production_Readiness_Gap_Report.md lists three blockers that must close before a paying clinic goes live.</t>
  </si>
  <si>
    <t xml:space="preserve">Do not demo Analytics</t>
  </si>
  <si>
    <t xml:space="preserve">The revenue figures in that tab are hardcoded sample data. Demo Command Center instead.</t>
  </si>
  <si>
    <t xml:space="preserve">One row per prospect. Update Stage as the deal moves. Dashboard reads from this sheet.</t>
  </si>
  <si>
    <t xml:space="preserve">↓ Row 5 is a filled-in example. Overwrite it with your first real prospect.</t>
  </si>
  <si>
    <t xml:space="preserve">Clinic Name</t>
  </si>
  <si>
    <t xml:space="preserve">Owner (Dr.)</t>
  </si>
  <si>
    <t xml:space="preserve">City</t>
  </si>
  <si>
    <t xml:space="preserve">Phone</t>
  </si>
  <si>
    <t xml:space="preserve">Email</t>
  </si>
  <si>
    <t xml:space="preserve">Source</t>
  </si>
  <si>
    <t xml:space="preserve">Google Rating</t>
  </si>
  <si>
    <t xml:space="preserve">Reviews</t>
  </si>
  <si>
    <t xml:space="preserve">Has Website?</t>
  </si>
  <si>
    <t xml:space="preserve">Running Ads?</t>
  </si>
  <si>
    <t xml:space="preserve">Tier Pitched</t>
  </si>
  <si>
    <t xml:space="preserve">Setup (₹)</t>
  </si>
  <si>
    <t xml:space="preserve">Monthly (₹)</t>
  </si>
  <si>
    <t xml:space="preserve">Yr-1 Value (₹)</t>
  </si>
  <si>
    <t xml:space="preserve">Stage</t>
  </si>
  <si>
    <t xml:space="preserve">Next Action</t>
  </si>
  <si>
    <t xml:space="preserve">Next Action Date</t>
  </si>
  <si>
    <t xml:space="preserve">Notes</t>
  </si>
  <si>
    <t xml:space="preserve">Smile Craft Dental</t>
  </si>
  <si>
    <t xml:space="preserve">Dr. Anjali Rao</t>
  </si>
  <si>
    <t xml:space="preserve">Pune</t>
  </si>
  <si>
    <t xml:space="preserve">+91 98XXXXXX21</t>
  </si>
  <si>
    <t xml:space="preserve">hello@smilecraft.in</t>
  </si>
  <si>
    <t xml:space="preserve">Meta Ad Library</t>
  </si>
  <si>
    <t xml:space="preserve">No</t>
  </si>
  <si>
    <t xml:space="preserve">Yes</t>
  </si>
  <si>
    <t xml:space="preserve">Professional</t>
  </si>
  <si>
    <t xml:space="preserve">Demo Booked</t>
  </si>
  <si>
    <t xml:space="preserve">Run 15-min demo, lead with Command Center</t>
  </si>
  <si>
    <t xml:space="preserve">2026-08-12</t>
  </si>
  <si>
    <t xml:space="preserve">Running ads to a page with no booking form — lead with wasted ad spend</t>
  </si>
  <si>
    <t xml:space="preserve">Prospect List — raw sourcing</t>
  </si>
  <si>
    <t xml:space="preserve">Build the list here. A row that scores 3+ qualifying marks is ready to move into Pipeline.</t>
  </si>
  <si>
    <t xml:space="preserve">Qualify Score: +1 each for rating ≥4 · reviews ≥20 · no booking form · running ads · single owner. 3+ = worth contacting.</t>
  </si>
  <si>
    <t xml:space="preserve">City / Area</t>
  </si>
  <si>
    <t xml:space="preserve">Website Status</t>
  </si>
  <si>
    <t xml:space="preserve">Booking Form?</t>
  </si>
  <si>
    <t xml:space="preserve">Single Owner?</t>
  </si>
  <si>
    <t xml:space="preserve">Qualify Score</t>
  </si>
  <si>
    <t xml:space="preserve">Ready?</t>
  </si>
  <si>
    <t xml:space="preserve">Found On</t>
  </si>
  <si>
    <t xml:space="preserve">Pune – Kothrud</t>
  </si>
  <si>
    <t xml:space="preserve">Facebook page only</t>
  </si>
  <si>
    <t xml:space="preserve">2026-08-06</t>
  </si>
  <si>
    <t xml:space="preserve">Edit the yellow cells to model one specific deal.</t>
  </si>
  <si>
    <t xml:space="preserve">DEAL INPUTS</t>
  </si>
  <si>
    <t xml:space="preserve">Setup fee (₹)</t>
  </si>
  <si>
    <t xml:space="preserve">Professional tier list price</t>
  </si>
  <si>
    <t xml:space="preserve">Monthly fee (₹)</t>
  </si>
  <si>
    <t xml:space="preserve">Setup discount (%)</t>
  </si>
  <si>
    <t xml:space="preserve">Founding client = 0.40. Never discount the monthly.</t>
  </si>
  <si>
    <t xml:space="preserve">Annual prepay?  (1=yes)</t>
  </si>
  <si>
    <t xml:space="preserve">1 = client pays 12 months up front, gets 2 free</t>
  </si>
  <si>
    <t xml:space="preserve">Contract length (months)</t>
  </si>
  <si>
    <t xml:space="preserve">REVENUE</t>
  </si>
  <si>
    <t xml:space="preserve">Net setup fee</t>
  </si>
  <si>
    <t xml:space="preserve">Months billed</t>
  </si>
  <si>
    <t xml:space="preserve">Annual prepay bills 10 months for 12 months of service</t>
  </si>
  <si>
    <t xml:space="preserve">Subscription revenue</t>
  </si>
  <si>
    <t xml:space="preserve">TOTAL CONTRACT VALUE</t>
  </si>
  <si>
    <t xml:space="preserve">YOUR COSTS</t>
  </si>
  <si>
    <t xml:space="preserve">Hosting per clinic / month (₹)</t>
  </si>
  <si>
    <t xml:space="preserve">Vercel + Atlas + Resend, amortised across clinics on shared tiers</t>
  </si>
  <si>
    <t xml:space="preserve">Domain per year (₹)</t>
  </si>
  <si>
    <t xml:space="preserve">Only if you include it — Professional and Clinic Plus do</t>
  </si>
  <si>
    <t xml:space="preserve">Your build hours</t>
  </si>
  <si>
    <t xml:space="preserve">Realistic for a per-clinic deploy today, per the gap report</t>
  </si>
  <si>
    <t xml:space="preserve">Your hourly rate (₹)</t>
  </si>
  <si>
    <t xml:space="preserve">What your time is actually worth</t>
  </si>
  <si>
    <t xml:space="preserve">Support hours / month</t>
  </si>
  <si>
    <t xml:space="preserve">Realistic steady state. Budget 3-4 hours in month 1.</t>
  </si>
  <si>
    <t xml:space="preserve">Build cost</t>
  </si>
  <si>
    <t xml:space="preserve">Hosting over term</t>
  </si>
  <si>
    <t xml:space="preserve">Support cost over term</t>
  </si>
  <si>
    <t xml:space="preserve">TOTAL COST</t>
  </si>
  <si>
    <t xml:space="preserve">RESULT</t>
  </si>
  <si>
    <t xml:space="preserve">Gross profit</t>
  </si>
  <si>
    <t xml:space="preserve">Blended gross margin</t>
  </si>
  <si>
    <t xml:space="preserve">Build labour included. This is a services margin, not a SaaS margin — 50-65% is healthy.</t>
  </si>
  <si>
    <t xml:space="preserve">Effective hourly rate</t>
  </si>
  <si>
    <t xml:space="preserve">What you actually earned per hour on this deal</t>
  </si>
  <si>
    <t xml:space="preserve">Payback on build cost</t>
  </si>
  <si>
    <t xml:space="preserve">Months of subscription to recover build cost after the setup fee. Negative = paid back on day one.</t>
  </si>
  <si>
    <t xml:space="preserve">SUBSCRIPTION ECONOMICS  (the number that matters long-term)</t>
  </si>
  <si>
    <t xml:space="preserve">Monthly revenue</t>
  </si>
  <si>
    <t xml:space="preserve">Monthly cost to serve</t>
  </si>
  <si>
    <t xml:space="preserve">Hosting + support only. Build cost is one-off and already recovered by the setup fee.</t>
  </si>
  <si>
    <t xml:space="preserve">Monthly gross profit</t>
  </si>
  <si>
    <t xml:space="preserve">Subscription margin</t>
  </si>
  <si>
    <t xml:space="preserve">This is the recurring margin. It should sit well above 60% - if not, raise the price or cut support time.</t>
  </si>
  <si>
    <t xml:space="preserve">Assumption: hosting cost is per-clinic and assumes several clinics share one Vercel Pro / MongoDB Atlas M10 instance.</t>
  </si>
  <si>
    <t xml:space="preserve">One clinic alone on paid tiers costs roughly ₹3,000/month and is close to break-even at the Professional price. See Sales Playbook §5.</t>
  </si>
  <si>
    <t xml:space="preserve">12-Month Revenue Model</t>
  </si>
  <si>
    <t xml:space="preserve">Edit the yellow assumptions. Everything below recalculates.</t>
  </si>
  <si>
    <t xml:space="preserve">ASSUMPTIONS</t>
  </si>
  <si>
    <t xml:space="preserve">New clients per month</t>
  </si>
  <si>
    <t xml:space="preserve">Avg setup fee (₹)</t>
  </si>
  <si>
    <t xml:space="preserve">Avg monthly fee (₹)</t>
  </si>
  <si>
    <t xml:space="preserve">Monthly churn rate</t>
  </si>
  <si>
    <t xml:space="preserve">Hosting cost per client (₹)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</si>
  <si>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</si>
  <si>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</si>
  <si>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</si>
  <si>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</si>
  <si>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</si>
  <si>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</si>
  <si>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</si>
  <si>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</si>
  <si>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</si>
  <si>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</si>
  <si>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</si>
  <si>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</si>
  <si>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</si>
  <si>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New clients</t>
  </si>
  <si>
    <t xml:space="preserve">Churned clients</t>
  </si>
  <si>
    <t xml:space="preserve">Active clients</t>
  </si>
  <si>
    <t xml:space="preserve">Setup revenue (₹)</t>
  </si>
  <si>
    <t xml:space="preserve">Recurring revenue (₹)</t>
  </si>
  <si>
    <t xml:space="preserve">Total revenue (₹)</t>
  </si>
  <si>
    <t xml:space="preserve">Hosting cost (₹)</t>
  </si>
  <si>
    <t xml:space="preserve">Gross profit (₹)</t>
  </si>
  <si>
    <t xml:space="preserve">MRR (₹)</t>
  </si>
  <si>
    <t xml:space="preserve">ARR run-rate (₹)</t>
  </si>
  <si>
    <t xml:space="preserve">Year 1 totals</t>
  </si>
  <si>
    <t xml:space="preserve">Total revenue</t>
  </si>
  <si>
    <t xml:space="preserve">Total gross profit</t>
  </si>
  <si>
    <t xml:space="preserve">Exit MRR (month 12)</t>
  </si>
  <si>
    <t xml:space="preserve">Exit ARR run-rate</t>
  </si>
  <si>
    <t xml:space="preserve">Note: at roughly 8 active clients, deploy-per-clinic ops stop scaling. Gap report §1.4 covers the multi-tenant migration.</t>
  </si>
  <si>
    <t xml:space="preserve">Read-only. All figures pull from the Pipeline sheet.</t>
  </si>
  <si>
    <t xml:space="preserve">PIPELINE BY STAGE</t>
  </si>
  <si>
    <t xml:space="preserve">Not Contacted</t>
  </si>
  <si>
    <t xml:space="preserve">Contacted</t>
  </si>
  <si>
    <t xml:space="preserve">Replied</t>
  </si>
  <si>
    <t xml:space="preserve">Demo Done</t>
  </si>
  <si>
    <t xml:space="preserve">Proposal Sent</t>
  </si>
  <si>
    <t xml:space="preserve">Closed Won</t>
  </si>
  <si>
    <t xml:space="preserve">Closed Lost</t>
  </si>
  <si>
    <t xml:space="preserve">Nurture</t>
  </si>
  <si>
    <t xml:space="preserve">Total prospects</t>
  </si>
  <si>
    <t xml:space="preserve">CONVERSION</t>
  </si>
  <si>
    <t xml:space="preserve">Contacted → Replied</t>
  </si>
  <si>
    <t xml:space="preserve">Healthy: 8–15% on cold email</t>
  </si>
  <si>
    <t xml:space="preserve">Replied → Demo booked</t>
  </si>
  <si>
    <t xml:space="preserve">Healthy: ~40%</t>
  </si>
  <si>
    <t xml:space="preserve">Demo → Closed won</t>
  </si>
  <si>
    <t xml:space="preserve">Healthy: 25–35%. Below 20% = qualify harder, per Playbook §2</t>
  </si>
  <si>
    <t xml:space="preserve">Overall win rate</t>
  </si>
  <si>
    <t xml:space="preserve">Prospects contacted that became clients</t>
  </si>
  <si>
    <t xml:space="preserve">VALUE</t>
  </si>
  <si>
    <t xml:space="preserve">Closed-won setup revenue</t>
  </si>
  <si>
    <t xml:space="preserve">Cash collected on setup fees</t>
  </si>
  <si>
    <t xml:space="preserve">Closed-won MRR</t>
  </si>
  <si>
    <t xml:space="preserve">Recurring revenue you have won</t>
  </si>
  <si>
    <t xml:space="preserve">Closed-won ARR run-rate</t>
  </si>
  <si>
    <t xml:space="preserve">MRR × 12</t>
  </si>
  <si>
    <t xml:space="preserve">Closed-won year-1 value</t>
  </si>
  <si>
    <t xml:space="preserve">Setup + 12 months</t>
  </si>
  <si>
    <t xml:space="preserve">Open pipeline value</t>
  </si>
  <si>
    <t xml:space="preserve">Year-1 value of everything not yet decided</t>
  </si>
  <si>
    <t xml:space="preserve">Avg deal size (won)</t>
  </si>
  <si>
    <t xml:space="preserve">Target: ₹75,000</t>
  </si>
  <si>
    <t xml:space="preserve">ACTIVITY</t>
  </si>
  <si>
    <t xml:space="preserve">Prospects with a next action</t>
  </si>
  <si>
    <t xml:space="preserve">Every live deal should have one</t>
  </si>
  <si>
    <t xml:space="preserve">Deals with no next action</t>
  </si>
  <si>
    <t xml:space="preserve">These are the deals that quietly die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</si>
</sst>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;&quot;(₹&quot;#,##0\);\-"/>
    <numFmt numFmtId="166" formatCode="\₹#,##0"/>
    <numFmt numFmtId="167" formatCode="0.0%"/>
    <numFmt numFmtId="168" formatCode="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2E36"/>
      <name val="Arial"/>
      <family val="0"/>
      <charset val="1"/>
    </font>
    <font>
      <i val="true"/>
      <sz val="9"/>
      <color rgb="FF5A7B82"/>
      <name val="Arial"/>
      <family val="0"/>
      <charset val="1"/>
    </font>
    <font>
      <b val="true"/>
      <sz val="10"/>
      <color rgb="FF13343B"/>
      <name val="Arial"/>
      <family val="0"/>
      <charset val="1"/>
    </font>
    <font>
      <sz val="10"/>
      <color rgb="FF13343B"/>
      <name val="Arial"/>
      <family val="0"/>
      <charset val="1"/>
    </font>
    <font>
      <b val="true"/>
      <sz val="10"/>
      <color rgb="FF028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2809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A2E3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28090"/>
        <bgColor rgb="FF008080"/>
      </patternFill>
    </fill>
    <fill>
      <patternFill patternType="solid">
        <fgColor rgb="FFFFFF99"/>
        <bgColor rgb="FFFFFFCC"/>
      </patternFill>
    </fill>
    <fill>
      <patternFill patternType="solid">
        <fgColor rgb="FFE8F2F2"/>
        <bgColor rgb="FFDD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9E9"/>
      </left>
      <right style="thin">
        <color rgb="FFDDE9E9"/>
      </right>
      <top style="thin">
        <color rgb="FFDDE9E9"/>
      </top>
      <bottom style="thin">
        <color rgb="FFDDE9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993366"/>
      <rgbColor rgb="FFFFFFCC"/>
      <rgbColor rgb="FFE8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9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B82"/>
      <rgbColor rgb="FF969696"/>
      <rgbColor rgb="FF0A2E36"/>
      <rgbColor rgb="FF339966"/>
      <rgbColor rgb="FF003300"/>
      <rgbColor rgb="FF333300"/>
      <rgbColor rgb="FF993300"/>
      <rgbColor rgb="FF993366"/>
      <rgbColor rgb="FF333399"/>
      <rgbColor rgb="FF13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6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/>
      <c r="C4" s="4"/>
    </row>
    <row r="5" customFormat="false" ht="15" hidden="false" customHeight="false" outlineLevel="0" collapsed="false">
      <c r="B5" s="5" t="s">
        <v>2</v>
      </c>
    </row>
    <row r="6" customFormat="false" ht="23.85" hidden="false" customHeight="false" outlineLevel="0" collapsed="false">
      <c r="B6" s="3" t="s">
        <v>3</v>
      </c>
      <c r="C6" s="4" t="s">
        <v>4</v>
      </c>
    </row>
    <row r="7" customFormat="false" ht="15" hidden="false" customHeight="false" outlineLevel="0" collapsed="false">
      <c r="B7" s="3" t="s">
        <v>5</v>
      </c>
      <c r="C7" s="4" t="s">
        <v>6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1" customFormat="false" ht="15" hidden="false" customHeight="false" outlineLevel="0" collapsed="false">
      <c r="B11" s="3"/>
      <c r="C11" s="4"/>
    </row>
    <row r="12" customFormat="false" ht="15" hidden="false" customHeight="false" outlineLevel="0" collapsed="false">
      <c r="B12" s="5" t="s">
        <v>13</v>
      </c>
    </row>
    <row r="13" customFormat="false" ht="15" hidden="false" customHeight="false" outlineLevel="0" collapsed="false">
      <c r="B13" s="3" t="s">
        <v>14</v>
      </c>
      <c r="C13" s="4" t="s">
        <v>15</v>
      </c>
    </row>
    <row r="14" customFormat="false" ht="15" hidden="false" customHeight="false" outlineLevel="0" collapsed="false">
      <c r="B14" s="3" t="s">
        <v>16</v>
      </c>
      <c r="C14" s="4" t="s">
        <v>17</v>
      </c>
    </row>
    <row r="15" customFormat="false" ht="15" hidden="false" customHeight="false" outlineLevel="0" collapsed="false">
      <c r="B15" s="3" t="s">
        <v>18</v>
      </c>
      <c r="C15" s="4" t="s">
        <v>19</v>
      </c>
    </row>
    <row r="16" customFormat="false" ht="15" hidden="false" customHeight="false" outlineLevel="0" collapsed="false">
      <c r="B16" s="3"/>
      <c r="C16" s="4"/>
    </row>
    <row r="17" customFormat="false" ht="15" hidden="false" customHeight="false" outlineLevel="0" collapsed="false">
      <c r="B17" s="5" t="s">
        <v>20</v>
      </c>
    </row>
    <row r="18" customFormat="false" ht="15" hidden="false" customHeight="false" outlineLevel="0" collapsed="false">
      <c r="B18" s="3" t="s">
        <v>21</v>
      </c>
      <c r="C18" s="4" t="s">
        <v>22</v>
      </c>
    </row>
    <row r="19" customFormat="false" ht="15" hidden="false" customHeight="false" outlineLevel="0" collapsed="false">
      <c r="B19" s="3" t="s">
        <v>23</v>
      </c>
      <c r="C19" s="4" t="s">
        <v>24</v>
      </c>
    </row>
    <row r="20" customFormat="false" ht="15" hidden="false" customHeight="false" outlineLevel="0" collapsed="false">
      <c r="B20" s="3" t="s">
        <v>25</v>
      </c>
      <c r="C20" s="4" t="s">
        <v>26</v>
      </c>
    </row>
    <row r="21" customFormat="false" ht="15" hidden="false" customHeight="false" outlineLevel="0" collapsed="false">
      <c r="B21" s="3" t="s">
        <v>27</v>
      </c>
      <c r="C21" s="4" t="s">
        <v>28</v>
      </c>
    </row>
    <row r="22" customFormat="false" ht="15" hidden="false" customHeight="false" outlineLevel="0" collapsed="false">
      <c r="B22" s="3" t="s">
        <v>29</v>
      </c>
      <c r="C22" s="4" t="s">
        <v>30</v>
      </c>
    </row>
    <row r="23" customFormat="false" ht="15" hidden="false" customHeight="false" outlineLevel="0" collapsed="false">
      <c r="B23" s="3"/>
      <c r="C23" s="4"/>
    </row>
    <row r="24" customFormat="false" ht="15" hidden="false" customHeight="false" outlineLevel="0" collapsed="false">
      <c r="B24" s="5" t="s">
        <v>31</v>
      </c>
    </row>
    <row r="25" customFormat="false" ht="23.85" hidden="false" customHeight="false" outlineLevel="0" collapsed="false">
      <c r="B25" s="3" t="s">
        <v>32</v>
      </c>
      <c r="C25" s="4" t="s">
        <v>33</v>
      </c>
    </row>
    <row r="26" customFormat="false" ht="15" hidden="false" customHeight="false" outlineLevel="0" collapsed="false">
      <c r="B26" s="3" t="s">
        <v>34</v>
      </c>
      <c r="C26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3" min="12" style="0" width="13"/>
    <col collapsed="false" customWidth="true" hidden="false" outlineLevel="0" max="14" min="14" style="0" width="15"/>
    <col collapsed="false" customWidth="true" hidden="false" outlineLevel="0" max="15" min="15" style="0" width="16"/>
    <col collapsed="false" customWidth="true" hidden="false" outlineLevel="0" max="16" min="16" style="0" width="34"/>
    <col collapsed="false" customWidth="true" hidden="false" outlineLevel="0" max="17" min="17" style="0" width="16"/>
    <col collapsed="false" customWidth="true" hidden="false" outlineLevel="0" max="18" min="18" style="0" width="42"/>
  </cols>
  <sheetData>
    <row r="1" customFormat="false" ht="24" hidden="false" customHeight="true" outlineLevel="0" collapsed="false">
      <c r="A1" s="1" t="s">
        <v>3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2" t="s">
        <v>37</v>
      </c>
    </row>
    <row r="4" customFormat="false" ht="30" hidden="false" customHeight="true" outlineLevel="0" collapsed="false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O4" s="6" t="s">
        <v>52</v>
      </c>
      <c r="P4" s="6" t="s">
        <v>53</v>
      </c>
      <c r="Q4" s="6" t="s">
        <v>54</v>
      </c>
      <c r="R4" s="6" t="s">
        <v>55</v>
      </c>
    </row>
    <row r="5" customFormat="false" ht="23.85" hidden="false" customHeight="false" outlineLevel="0" collapsed="false">
      <c r="A5" s="7" t="s">
        <v>56</v>
      </c>
      <c r="B5" s="7" t="s">
        <v>57</v>
      </c>
      <c r="C5" s="7" t="s">
        <v>58</v>
      </c>
      <c r="D5" s="7" t="s">
        <v>59</v>
      </c>
      <c r="E5" s="7" t="s">
        <v>60</v>
      </c>
      <c r="F5" s="7" t="s">
        <v>61</v>
      </c>
      <c r="G5" s="7" t="n">
        <v>4.7</v>
      </c>
      <c r="H5" s="7" t="n">
        <v>132</v>
      </c>
      <c r="I5" s="7" t="s">
        <v>62</v>
      </c>
      <c r="J5" s="7" t="s">
        <v>63</v>
      </c>
      <c r="K5" s="7" t="s">
        <v>64</v>
      </c>
      <c r="L5" s="8" t="n">
        <v>44999</v>
      </c>
      <c r="M5" s="8" t="n">
        <v>2499</v>
      </c>
      <c r="N5" s="8" t="n">
        <f aca="false">IF(L5="","",L5+M5*12)</f>
        <v>74987</v>
      </c>
      <c r="O5" s="7" t="s">
        <v>65</v>
      </c>
      <c r="P5" s="7" t="s">
        <v>66</v>
      </c>
      <c r="Q5" s="7" t="s">
        <v>67</v>
      </c>
      <c r="R5" s="9" t="s">
        <v>68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8"/>
      <c r="M6" s="8"/>
      <c r="N6" s="8" t="str">
        <f aca="false">IF(L6="","",L6+M6*12)</f>
        <v/>
      </c>
      <c r="O6" s="7"/>
      <c r="P6" s="7"/>
      <c r="Q6" s="7"/>
      <c r="R6" s="9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8"/>
      <c r="N7" s="8" t="str">
        <f aca="false">IF(L7="","",L7+M7*12)</f>
        <v/>
      </c>
      <c r="O7" s="7"/>
      <c r="P7" s="7"/>
      <c r="Q7" s="7"/>
      <c r="R7" s="9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8"/>
      <c r="N8" s="8" t="str">
        <f aca="false">IF(L8="","",L8+M8*12)</f>
        <v/>
      </c>
      <c r="O8" s="7"/>
      <c r="P8" s="7"/>
      <c r="Q8" s="7"/>
      <c r="R8" s="9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8"/>
      <c r="M9" s="8"/>
      <c r="N9" s="8" t="str">
        <f aca="false">IF(L9="","",L9+M9*12)</f>
        <v/>
      </c>
      <c r="O9" s="7"/>
      <c r="P9" s="7"/>
      <c r="Q9" s="7"/>
      <c r="R9" s="9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8"/>
      <c r="N10" s="8" t="str">
        <f aca="false">IF(L10="","",L10+M10*12)</f>
        <v/>
      </c>
      <c r="O10" s="7"/>
      <c r="P10" s="7"/>
      <c r="Q10" s="7"/>
      <c r="R10" s="9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8"/>
      <c r="N11" s="8" t="str">
        <f aca="false">IF(L11="","",L11+M11*12)</f>
        <v/>
      </c>
      <c r="O11" s="7"/>
      <c r="P11" s="7"/>
      <c r="Q11" s="7"/>
      <c r="R11" s="9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8"/>
      <c r="N12" s="8" t="str">
        <f aca="false">IF(L12="","",L12+M12*12)</f>
        <v/>
      </c>
      <c r="O12" s="7"/>
      <c r="P12" s="7"/>
      <c r="Q12" s="7"/>
      <c r="R12" s="9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8"/>
      <c r="N13" s="8" t="str">
        <f aca="false">IF(L13="","",L13+M13*12)</f>
        <v/>
      </c>
      <c r="O13" s="7"/>
      <c r="P13" s="7"/>
      <c r="Q13" s="7"/>
      <c r="R13" s="9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8"/>
      <c r="N14" s="8" t="str">
        <f aca="false">IF(L14="","",L14+M14*12)</f>
        <v/>
      </c>
      <c r="O14" s="7"/>
      <c r="P14" s="7"/>
      <c r="Q14" s="7"/>
      <c r="R14" s="9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M15" s="8"/>
      <c r="N15" s="8" t="str">
        <f aca="false">IF(L15="","",L15+M15*12)</f>
        <v/>
      </c>
      <c r="O15" s="7"/>
      <c r="P15" s="7"/>
      <c r="Q15" s="7"/>
      <c r="R15" s="9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M16" s="8"/>
      <c r="N16" s="8" t="str">
        <f aca="false">IF(L16="","",L16+M16*12)</f>
        <v/>
      </c>
      <c r="O16" s="7"/>
      <c r="P16" s="7"/>
      <c r="Q16" s="7"/>
      <c r="R16" s="9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8"/>
      <c r="N17" s="8" t="str">
        <f aca="false">IF(L17="","",L17+M17*12)</f>
        <v/>
      </c>
      <c r="O17" s="7"/>
      <c r="P17" s="7"/>
      <c r="Q17" s="7"/>
      <c r="R17" s="9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M18" s="8"/>
      <c r="N18" s="8" t="str">
        <f aca="false">IF(L18="","",L18+M18*12)</f>
        <v/>
      </c>
      <c r="O18" s="7"/>
      <c r="P18" s="7"/>
      <c r="Q18" s="7"/>
      <c r="R18" s="9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M19" s="8"/>
      <c r="N19" s="8" t="str">
        <f aca="false">IF(L19="","",L19+M19*12)</f>
        <v/>
      </c>
      <c r="O19" s="7"/>
      <c r="P19" s="7"/>
      <c r="Q19" s="7"/>
      <c r="R19" s="9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  <c r="M20" s="8"/>
      <c r="N20" s="8" t="str">
        <f aca="false">IF(L20="","",L20+M20*12)</f>
        <v/>
      </c>
      <c r="O20" s="7"/>
      <c r="P20" s="7"/>
      <c r="Q20" s="7"/>
      <c r="R20" s="9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  <c r="M21" s="8"/>
      <c r="N21" s="8" t="str">
        <f aca="false">IF(L21="","",L21+M21*12)</f>
        <v/>
      </c>
      <c r="O21" s="7"/>
      <c r="P21" s="7"/>
      <c r="Q21" s="7"/>
      <c r="R21" s="9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M22" s="8"/>
      <c r="N22" s="8" t="str">
        <f aca="false">IF(L22="","",L22+M22*12)</f>
        <v/>
      </c>
      <c r="O22" s="7"/>
      <c r="P22" s="7"/>
      <c r="Q22" s="7"/>
      <c r="R22" s="9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  <c r="M23" s="8"/>
      <c r="N23" s="8" t="str">
        <f aca="false">IF(L23="","",L23+M23*12)</f>
        <v/>
      </c>
      <c r="O23" s="7"/>
      <c r="P23" s="7"/>
      <c r="Q23" s="7"/>
      <c r="R23" s="9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  <c r="M24" s="8"/>
      <c r="N24" s="8" t="str">
        <f aca="false">IF(L24="","",L24+M24*12)</f>
        <v/>
      </c>
      <c r="O24" s="7"/>
      <c r="P24" s="7"/>
      <c r="Q24" s="7"/>
      <c r="R24" s="9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8"/>
      <c r="M25" s="8"/>
      <c r="N25" s="8" t="str">
        <f aca="false">IF(L25="","",L25+M25*12)</f>
        <v/>
      </c>
      <c r="O25" s="7"/>
      <c r="P25" s="7"/>
      <c r="Q25" s="7"/>
      <c r="R25" s="9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  <c r="M26" s="8"/>
      <c r="N26" s="8" t="str">
        <f aca="false">IF(L26="","",L26+M26*12)</f>
        <v/>
      </c>
      <c r="O26" s="7"/>
      <c r="P26" s="7"/>
      <c r="Q26" s="7"/>
      <c r="R26" s="9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8"/>
      <c r="N27" s="8" t="str">
        <f aca="false">IF(L27="","",L27+M27*12)</f>
        <v/>
      </c>
      <c r="O27" s="7"/>
      <c r="P27" s="7"/>
      <c r="Q27" s="7"/>
      <c r="R27" s="9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  <c r="M28" s="8"/>
      <c r="N28" s="8" t="str">
        <f aca="false">IF(L28="","",L28+M28*12)</f>
        <v/>
      </c>
      <c r="O28" s="7"/>
      <c r="P28" s="7"/>
      <c r="Q28" s="7"/>
      <c r="R28" s="9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M29" s="8"/>
      <c r="N29" s="8" t="str">
        <f aca="false">IF(L29="","",L29+M29*12)</f>
        <v/>
      </c>
      <c r="O29" s="7"/>
      <c r="P29" s="7"/>
      <c r="Q29" s="7"/>
      <c r="R29" s="9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8"/>
      <c r="N30" s="8" t="str">
        <f aca="false">IF(L30="","",L30+M30*12)</f>
        <v/>
      </c>
      <c r="O30" s="7"/>
      <c r="P30" s="7"/>
      <c r="Q30" s="7"/>
      <c r="R30" s="9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8"/>
      <c r="N31" s="8" t="str">
        <f aca="false">IF(L31="","",L31+M31*12)</f>
        <v/>
      </c>
      <c r="O31" s="7"/>
      <c r="P31" s="7"/>
      <c r="Q31" s="7"/>
      <c r="R31" s="9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M32" s="8"/>
      <c r="N32" s="8" t="str">
        <f aca="false">IF(L32="","",L32+M32*12)</f>
        <v/>
      </c>
      <c r="O32" s="7"/>
      <c r="P32" s="7"/>
      <c r="Q32" s="7"/>
      <c r="R32" s="9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8"/>
      <c r="M33" s="8"/>
      <c r="N33" s="8" t="str">
        <f aca="false">IF(L33="","",L33+M33*12)</f>
        <v/>
      </c>
      <c r="O33" s="7"/>
      <c r="P33" s="7"/>
      <c r="Q33" s="7"/>
      <c r="R33" s="9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  <c r="M34" s="8"/>
      <c r="N34" s="8" t="str">
        <f aca="false">IF(L34="","",L34+M34*12)</f>
        <v/>
      </c>
      <c r="O34" s="7"/>
      <c r="P34" s="7"/>
      <c r="Q34" s="7"/>
      <c r="R34" s="9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8"/>
      <c r="M35" s="8"/>
      <c r="N35" s="8" t="str">
        <f aca="false">IF(L35="","",L35+M35*12)</f>
        <v/>
      </c>
      <c r="O35" s="7"/>
      <c r="P35" s="7"/>
      <c r="Q35" s="7"/>
      <c r="R35" s="9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  <c r="M36" s="8"/>
      <c r="N36" s="8" t="str">
        <f aca="false">IF(L36="","",L36+M36*12)</f>
        <v/>
      </c>
      <c r="O36" s="7"/>
      <c r="P36" s="7"/>
      <c r="Q36" s="7"/>
      <c r="R36" s="9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8"/>
      <c r="M37" s="8"/>
      <c r="N37" s="8" t="str">
        <f aca="false">IF(L37="","",L37+M37*12)</f>
        <v/>
      </c>
      <c r="O37" s="7"/>
      <c r="P37" s="7"/>
      <c r="Q37" s="7"/>
      <c r="R37" s="9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  <c r="M38" s="8"/>
      <c r="N38" s="8" t="str">
        <f aca="false">IF(L38="","",L38+M38*12)</f>
        <v/>
      </c>
      <c r="O38" s="7"/>
      <c r="P38" s="7"/>
      <c r="Q38" s="7"/>
      <c r="R38" s="9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8"/>
      <c r="M39" s="8"/>
      <c r="N39" s="8" t="str">
        <f aca="false">IF(L39="","",L39+M39*12)</f>
        <v/>
      </c>
      <c r="O39" s="7"/>
      <c r="P39" s="7"/>
      <c r="Q39" s="7"/>
      <c r="R39" s="9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  <c r="M40" s="8"/>
      <c r="N40" s="8" t="str">
        <f aca="false">IF(L40="","",L40+M40*12)</f>
        <v/>
      </c>
      <c r="O40" s="7"/>
      <c r="P40" s="7"/>
      <c r="Q40" s="7"/>
      <c r="R40" s="9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8"/>
      <c r="M41" s="8"/>
      <c r="N41" s="8" t="str">
        <f aca="false">IF(L41="","",L41+M41*12)</f>
        <v/>
      </c>
      <c r="O41" s="7"/>
      <c r="P41" s="7"/>
      <c r="Q41" s="7"/>
      <c r="R41" s="9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8"/>
      <c r="M42" s="8"/>
      <c r="N42" s="8" t="str">
        <f aca="false">IF(L42="","",L42+M42*12)</f>
        <v/>
      </c>
      <c r="O42" s="7"/>
      <c r="P42" s="7"/>
      <c r="Q42" s="7"/>
      <c r="R42" s="9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8"/>
      <c r="M43" s="8"/>
      <c r="N43" s="8" t="str">
        <f aca="false">IF(L43="","",L43+M43*12)</f>
        <v/>
      </c>
      <c r="O43" s="7"/>
      <c r="P43" s="7"/>
      <c r="Q43" s="7"/>
      <c r="R43" s="9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  <c r="M44" s="8"/>
      <c r="N44" s="8" t="str">
        <f aca="false">IF(L44="","",L44+M44*12)</f>
        <v/>
      </c>
      <c r="O44" s="7"/>
      <c r="P44" s="7"/>
      <c r="Q44" s="7"/>
      <c r="R44" s="9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8"/>
      <c r="M45" s="8"/>
      <c r="N45" s="8" t="str">
        <f aca="false">IF(L45="","",L45+M45*12)</f>
        <v/>
      </c>
      <c r="O45" s="7"/>
      <c r="P45" s="7"/>
      <c r="Q45" s="7"/>
      <c r="R45" s="9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  <c r="M46" s="8"/>
      <c r="N46" s="8" t="str">
        <f aca="false">IF(L46="","",L46+M46*12)</f>
        <v/>
      </c>
      <c r="O46" s="7"/>
      <c r="P46" s="7"/>
      <c r="Q46" s="7"/>
      <c r="R46" s="9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8"/>
      <c r="M47" s="8"/>
      <c r="N47" s="8" t="str">
        <f aca="false">IF(L47="","",L47+M47*12)</f>
        <v/>
      </c>
      <c r="O47" s="7"/>
      <c r="P47" s="7"/>
      <c r="Q47" s="7"/>
      <c r="R47" s="9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8"/>
      <c r="M48" s="8"/>
      <c r="N48" s="8" t="str">
        <f aca="false">IF(L48="","",L48+M48*12)</f>
        <v/>
      </c>
      <c r="O48" s="7"/>
      <c r="P48" s="7"/>
      <c r="Q48" s="7"/>
      <c r="R48" s="9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8"/>
      <c r="N49" s="8" t="str">
        <f aca="false">IF(L49="","",L49+M49*12)</f>
        <v/>
      </c>
      <c r="O49" s="7"/>
      <c r="P49" s="7"/>
      <c r="Q49" s="7"/>
      <c r="R49" s="9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8"/>
      <c r="M50" s="8"/>
      <c r="N50" s="8" t="str">
        <f aca="false">IF(L50="","",L50+M50*12)</f>
        <v/>
      </c>
      <c r="O50" s="7"/>
      <c r="P50" s="7"/>
      <c r="Q50" s="7"/>
      <c r="R50" s="9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8"/>
      <c r="M51" s="8"/>
      <c r="N51" s="8" t="str">
        <f aca="false">IF(L51="","",L51+M51*12)</f>
        <v/>
      </c>
      <c r="O51" s="7"/>
      <c r="P51" s="7"/>
      <c r="Q51" s="7"/>
      <c r="R51" s="9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8"/>
      <c r="M52" s="8"/>
      <c r="N52" s="8" t="str">
        <f aca="false">IF(L52="","",L52+M52*12)</f>
        <v/>
      </c>
      <c r="O52" s="7"/>
      <c r="P52" s="7"/>
      <c r="Q52" s="7"/>
      <c r="R52" s="9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8"/>
      <c r="M53" s="8"/>
      <c r="N53" s="8" t="str">
        <f aca="false">IF(L53="","",L53+M53*12)</f>
        <v/>
      </c>
      <c r="O53" s="7"/>
      <c r="P53" s="7"/>
      <c r="Q53" s="7"/>
      <c r="R53" s="9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8"/>
      <c r="M54" s="8"/>
      <c r="N54" s="8" t="str">
        <f aca="false">IF(L54="","",L54+M54*12)</f>
        <v/>
      </c>
      <c r="O54" s="7"/>
      <c r="P54" s="7"/>
      <c r="Q54" s="7"/>
      <c r="R54" s="9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8"/>
      <c r="M55" s="8"/>
      <c r="N55" s="8" t="str">
        <f aca="false">IF(L55="","",L55+M55*12)</f>
        <v/>
      </c>
      <c r="O55" s="7"/>
      <c r="P55" s="7"/>
      <c r="Q55" s="7"/>
      <c r="R55" s="9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8"/>
      <c r="M56" s="8"/>
      <c r="N56" s="8" t="str">
        <f aca="false">IF(L56="","",L56+M56*12)</f>
        <v/>
      </c>
      <c r="O56" s="7"/>
      <c r="P56" s="7"/>
      <c r="Q56" s="7"/>
      <c r="R56" s="9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8"/>
      <c r="M57" s="8"/>
      <c r="N57" s="8" t="str">
        <f aca="false">IF(L57="","",L57+M57*12)</f>
        <v/>
      </c>
      <c r="O57" s="7"/>
      <c r="P57" s="7"/>
      <c r="Q57" s="7"/>
      <c r="R57" s="9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8"/>
      <c r="N58" s="8" t="str">
        <f aca="false">IF(L58="","",L58+M58*12)</f>
        <v/>
      </c>
      <c r="O58" s="7"/>
      <c r="P58" s="7"/>
      <c r="Q58" s="7"/>
      <c r="R58" s="9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8"/>
      <c r="N59" s="8" t="str">
        <f aca="false">IF(L59="","",L59+M59*12)</f>
        <v/>
      </c>
      <c r="O59" s="7"/>
      <c r="P59" s="7"/>
      <c r="Q59" s="7"/>
      <c r="R59" s="9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8"/>
      <c r="M60" s="8"/>
      <c r="N60" s="8" t="str">
        <f aca="false">IF(L60="","",L60+M60*12)</f>
        <v/>
      </c>
      <c r="O60" s="7"/>
      <c r="P60" s="7"/>
      <c r="Q60" s="7"/>
      <c r="R60" s="9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8"/>
      <c r="M61" s="8"/>
      <c r="N61" s="8" t="str">
        <f aca="false">IF(L61="","",L61+M61*12)</f>
        <v/>
      </c>
      <c r="O61" s="7"/>
      <c r="P61" s="7"/>
      <c r="Q61" s="7"/>
      <c r="R61" s="9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8"/>
      <c r="M62" s="8"/>
      <c r="N62" s="8" t="str">
        <f aca="false">IF(L62="","",L62+M62*12)</f>
        <v/>
      </c>
      <c r="O62" s="7"/>
      <c r="P62" s="7"/>
      <c r="Q62" s="7"/>
      <c r="R62" s="9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8"/>
      <c r="M63" s="8"/>
      <c r="N63" s="8" t="str">
        <f aca="false">IF(L63="","",L63+M63*12)</f>
        <v/>
      </c>
      <c r="O63" s="7"/>
      <c r="P63" s="7"/>
      <c r="Q63" s="7"/>
      <c r="R63" s="9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  <c r="M64" s="8"/>
      <c r="N64" s="8" t="str">
        <f aca="false">IF(L64="","",L64+M64*12)</f>
        <v/>
      </c>
      <c r="O64" s="7"/>
      <c r="P64" s="7"/>
      <c r="Q64" s="7"/>
      <c r="R64" s="9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8"/>
      <c r="M65" s="8"/>
      <c r="N65" s="8" t="str">
        <f aca="false">IF(L65="","",L65+M65*12)</f>
        <v/>
      </c>
      <c r="O65" s="7"/>
      <c r="P65" s="7"/>
      <c r="Q65" s="7"/>
      <c r="R65" s="9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8"/>
      <c r="M66" s="8"/>
      <c r="N66" s="8" t="str">
        <f aca="false">IF(L66="","",L66+M66*12)</f>
        <v/>
      </c>
      <c r="O66" s="7"/>
      <c r="P66" s="7"/>
      <c r="Q66" s="7"/>
      <c r="R66" s="9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8"/>
      <c r="M67" s="8"/>
      <c r="N67" s="8" t="str">
        <f aca="false">IF(L67="","",L67+M67*12)</f>
        <v/>
      </c>
      <c r="O67" s="7"/>
      <c r="P67" s="7"/>
      <c r="Q67" s="7"/>
      <c r="R67" s="9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8"/>
      <c r="M68" s="8"/>
      <c r="N68" s="8" t="str">
        <f aca="false">IF(L68="","",L68+M68*12)</f>
        <v/>
      </c>
      <c r="O68" s="7"/>
      <c r="P68" s="7"/>
      <c r="Q68" s="7"/>
      <c r="R68" s="9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8"/>
      <c r="M69" s="8"/>
      <c r="N69" s="8" t="str">
        <f aca="false">IF(L69="","",L69+M69*12)</f>
        <v/>
      </c>
      <c r="O69" s="7"/>
      <c r="P69" s="7"/>
      <c r="Q69" s="7"/>
      <c r="R69" s="9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8"/>
      <c r="M70" s="8"/>
      <c r="N70" s="8" t="str">
        <f aca="false">IF(L70="","",L70+M70*12)</f>
        <v/>
      </c>
      <c r="O70" s="7"/>
      <c r="P70" s="7"/>
      <c r="Q70" s="7"/>
      <c r="R70" s="9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8"/>
      <c r="M71" s="8"/>
      <c r="N71" s="8" t="str">
        <f aca="false">IF(L71="","",L71+M71*12)</f>
        <v/>
      </c>
      <c r="O71" s="7"/>
      <c r="P71" s="7"/>
      <c r="Q71" s="7"/>
      <c r="R71" s="9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8"/>
      <c r="M72" s="8"/>
      <c r="N72" s="8" t="str">
        <f aca="false">IF(L72="","",L72+M72*12)</f>
        <v/>
      </c>
      <c r="O72" s="7"/>
      <c r="P72" s="7"/>
      <c r="Q72" s="7"/>
      <c r="R72" s="9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8"/>
      <c r="M73" s="8"/>
      <c r="N73" s="8" t="str">
        <f aca="false">IF(L73="","",L73+M73*12)</f>
        <v/>
      </c>
      <c r="O73" s="7"/>
      <c r="P73" s="7"/>
      <c r="Q73" s="7"/>
      <c r="R73" s="9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8"/>
      <c r="M74" s="8"/>
      <c r="N74" s="8" t="str">
        <f aca="false">IF(L74="","",L74+M74*12)</f>
        <v/>
      </c>
      <c r="O74" s="7"/>
      <c r="P74" s="7"/>
      <c r="Q74" s="7"/>
      <c r="R74" s="9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8"/>
      <c r="M75" s="8"/>
      <c r="N75" s="8" t="str">
        <f aca="false">IF(L75="","",L75+M75*12)</f>
        <v/>
      </c>
      <c r="O75" s="7"/>
      <c r="P75" s="7"/>
      <c r="Q75" s="7"/>
      <c r="R75" s="9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8"/>
      <c r="M76" s="8"/>
      <c r="N76" s="8" t="str">
        <f aca="false">IF(L76="","",L76+M76*12)</f>
        <v/>
      </c>
      <c r="O76" s="7"/>
      <c r="P76" s="7"/>
      <c r="Q76" s="7"/>
      <c r="R76" s="9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8"/>
      <c r="M77" s="8"/>
      <c r="N77" s="8" t="str">
        <f aca="false">IF(L77="","",L77+M77*12)</f>
        <v/>
      </c>
      <c r="O77" s="7"/>
      <c r="P77" s="7"/>
      <c r="Q77" s="7"/>
      <c r="R77" s="9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8"/>
      <c r="M78" s="8"/>
      <c r="N78" s="8" t="str">
        <f aca="false">IF(L78="","",L78+M78*12)</f>
        <v/>
      </c>
      <c r="O78" s="7"/>
      <c r="P78" s="7"/>
      <c r="Q78" s="7"/>
      <c r="R78" s="9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8"/>
      <c r="M79" s="8"/>
      <c r="N79" s="8" t="str">
        <f aca="false">IF(L79="","",L79+M79*12)</f>
        <v/>
      </c>
      <c r="O79" s="7"/>
      <c r="P79" s="7"/>
      <c r="Q79" s="7"/>
      <c r="R79" s="9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8"/>
      <c r="M80" s="8"/>
      <c r="N80" s="8" t="str">
        <f aca="false">IF(L80="","",L80+M80*12)</f>
        <v/>
      </c>
      <c r="O80" s="7"/>
      <c r="P80" s="7"/>
      <c r="Q80" s="7"/>
      <c r="R80" s="9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8"/>
      <c r="M81" s="8"/>
      <c r="N81" s="8" t="str">
        <f aca="false">IF(L81="","",L81+M81*12)</f>
        <v/>
      </c>
      <c r="O81" s="7"/>
      <c r="P81" s="7"/>
      <c r="Q81" s="7"/>
      <c r="R81" s="9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8"/>
      <c r="M82" s="8"/>
      <c r="N82" s="8" t="str">
        <f aca="false">IF(L82="","",L82+M82*12)</f>
        <v/>
      </c>
      <c r="O82" s="7"/>
      <c r="P82" s="7"/>
      <c r="Q82" s="7"/>
      <c r="R82" s="9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8"/>
      <c r="M83" s="8"/>
      <c r="N83" s="8" t="str">
        <f aca="false">IF(L83="","",L83+M83*12)</f>
        <v/>
      </c>
      <c r="O83" s="7"/>
      <c r="P83" s="7"/>
      <c r="Q83" s="7"/>
      <c r="R83" s="9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8"/>
      <c r="M84" s="8"/>
      <c r="N84" s="8" t="str">
        <f aca="false">IF(L84="","",L84+M84*12)</f>
        <v/>
      </c>
      <c r="O84" s="7"/>
      <c r="P84" s="7"/>
      <c r="Q84" s="7"/>
      <c r="R84" s="9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8"/>
      <c r="M85" s="8"/>
      <c r="N85" s="8" t="str">
        <f aca="false">IF(L85="","",L85+M85*12)</f>
        <v/>
      </c>
      <c r="O85" s="7"/>
      <c r="P85" s="7"/>
      <c r="Q85" s="7"/>
      <c r="R85" s="9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8"/>
      <c r="M86" s="8"/>
      <c r="N86" s="8" t="str">
        <f aca="false">IF(L86="","",L86+M86*12)</f>
        <v/>
      </c>
      <c r="O86" s="7"/>
      <c r="P86" s="7"/>
      <c r="Q86" s="7"/>
      <c r="R86" s="9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8"/>
      <c r="M87" s="8"/>
      <c r="N87" s="8" t="str">
        <f aca="false">IF(L87="","",L87+M87*12)</f>
        <v/>
      </c>
      <c r="O87" s="7"/>
      <c r="P87" s="7"/>
      <c r="Q87" s="7"/>
      <c r="R87" s="9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8"/>
      <c r="M88" s="8"/>
      <c r="N88" s="8" t="str">
        <f aca="false">IF(L88="","",L88+M88*12)</f>
        <v/>
      </c>
      <c r="O88" s="7"/>
      <c r="P88" s="7"/>
      <c r="Q88" s="7"/>
      <c r="R88" s="9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8"/>
      <c r="M89" s="8"/>
      <c r="N89" s="8" t="str">
        <f aca="false">IF(L89="","",L89+M89*12)</f>
        <v/>
      </c>
      <c r="O89" s="7"/>
      <c r="P89" s="7"/>
      <c r="Q89" s="7"/>
      <c r="R89" s="9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8"/>
      <c r="M90" s="8"/>
      <c r="N90" s="8" t="str">
        <f aca="false">IF(L90="","",L90+M90*12)</f>
        <v/>
      </c>
      <c r="O90" s="7"/>
      <c r="P90" s="7"/>
      <c r="Q90" s="7"/>
      <c r="R90" s="9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8"/>
      <c r="M91" s="8"/>
      <c r="N91" s="8" t="str">
        <f aca="false">IF(L91="","",L91+M91*12)</f>
        <v/>
      </c>
      <c r="O91" s="7"/>
      <c r="P91" s="7"/>
      <c r="Q91" s="7"/>
      <c r="R91" s="9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8"/>
      <c r="M92" s="8"/>
      <c r="N92" s="8" t="str">
        <f aca="false">IF(L92="","",L92+M92*12)</f>
        <v/>
      </c>
      <c r="O92" s="7"/>
      <c r="P92" s="7"/>
      <c r="Q92" s="7"/>
      <c r="R92" s="9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8"/>
      <c r="M93" s="8"/>
      <c r="N93" s="8" t="str">
        <f aca="false">IF(L93="","",L93+M93*12)</f>
        <v/>
      </c>
      <c r="O93" s="7"/>
      <c r="P93" s="7"/>
      <c r="Q93" s="7"/>
      <c r="R93" s="9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8"/>
      <c r="M94" s="8"/>
      <c r="N94" s="8" t="str">
        <f aca="false">IF(L94="","",L94+M94*12)</f>
        <v/>
      </c>
      <c r="O94" s="7"/>
      <c r="P94" s="7"/>
      <c r="Q94" s="7"/>
      <c r="R94" s="9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8"/>
      <c r="M95" s="8"/>
      <c r="N95" s="8" t="str">
        <f aca="false">IF(L95="","",L95+M95*12)</f>
        <v/>
      </c>
      <c r="O95" s="7"/>
      <c r="P95" s="7"/>
      <c r="Q95" s="7"/>
      <c r="R95" s="9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8"/>
      <c r="M96" s="8"/>
      <c r="N96" s="8" t="str">
        <f aca="false">IF(L96="","",L96+M96*12)</f>
        <v/>
      </c>
      <c r="O96" s="7"/>
      <c r="P96" s="7"/>
      <c r="Q96" s="7"/>
      <c r="R96" s="9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8"/>
      <c r="M97" s="8"/>
      <c r="N97" s="8" t="str">
        <f aca="false">IF(L97="","",L97+M97*12)</f>
        <v/>
      </c>
      <c r="O97" s="7"/>
      <c r="P97" s="7"/>
      <c r="Q97" s="7"/>
      <c r="R97" s="9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8"/>
      <c r="M98" s="8"/>
      <c r="N98" s="8" t="str">
        <f aca="false">IF(L98="","",L98+M98*12)</f>
        <v/>
      </c>
      <c r="O98" s="7"/>
      <c r="P98" s="7"/>
      <c r="Q98" s="7"/>
      <c r="R98" s="9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8"/>
      <c r="M99" s="8"/>
      <c r="N99" s="8" t="str">
        <f aca="false">IF(L99="","",L99+M99*12)</f>
        <v/>
      </c>
      <c r="O99" s="7"/>
      <c r="P99" s="7"/>
      <c r="Q99" s="7"/>
      <c r="R99" s="9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8"/>
      <c r="M100" s="8"/>
      <c r="N100" s="8" t="str">
        <f aca="false">IF(L100="","",L100+M100*12)</f>
        <v/>
      </c>
      <c r="O100" s="7"/>
      <c r="P100" s="7"/>
      <c r="Q100" s="7"/>
      <c r="R100" s="9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8"/>
      <c r="M101" s="8"/>
      <c r="N101" s="8" t="str">
        <f aca="false">IF(L101="","",L101+M101*12)</f>
        <v/>
      </c>
      <c r="O101" s="7"/>
      <c r="P101" s="7"/>
      <c r="Q101" s="7"/>
      <c r="R101" s="9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8"/>
      <c r="M102" s="8"/>
      <c r="N102" s="8" t="str">
        <f aca="false">IF(L102="","",L102+M102*12)</f>
        <v/>
      </c>
      <c r="O102" s="7"/>
      <c r="P102" s="7"/>
      <c r="Q102" s="7"/>
      <c r="R102" s="9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8"/>
      <c r="M103" s="8"/>
      <c r="N103" s="8" t="str">
        <f aca="false">IF(L103="","",L103+M103*12)</f>
        <v/>
      </c>
      <c r="O103" s="7"/>
      <c r="P103" s="7"/>
      <c r="Q103" s="7"/>
      <c r="R103" s="9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8"/>
      <c r="M104" s="8"/>
      <c r="N104" s="8" t="str">
        <f aca="false">IF(L104="","",L104+M104*12)</f>
        <v/>
      </c>
      <c r="O104" s="7"/>
      <c r="P104" s="7"/>
      <c r="Q104" s="7"/>
      <c r="R104" s="9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8"/>
      <c r="M105" s="8"/>
      <c r="N105" s="8" t="str">
        <f aca="false">IF(L105="","",L105+M105*12)</f>
        <v/>
      </c>
      <c r="O105" s="7"/>
      <c r="P105" s="7"/>
      <c r="Q105" s="7"/>
      <c r="R105" s="9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8"/>
      <c r="M106" s="8"/>
      <c r="N106" s="8" t="str">
        <f aca="false">IF(L106="","",L106+M106*12)</f>
        <v/>
      </c>
      <c r="O106" s="7"/>
      <c r="P106" s="7"/>
      <c r="Q106" s="7"/>
      <c r="R106" s="9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8"/>
      <c r="M107" s="8"/>
      <c r="N107" s="8" t="str">
        <f aca="false">IF(L107="","",L107+M107*12)</f>
        <v/>
      </c>
      <c r="O107" s="7"/>
      <c r="P107" s="7"/>
      <c r="Q107" s="7"/>
      <c r="R107" s="9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8"/>
      <c r="N108" s="8" t="str">
        <f aca="false">IF(L108="","",L108+M108*12)</f>
        <v/>
      </c>
      <c r="O108" s="7"/>
      <c r="P108" s="7"/>
      <c r="Q108" s="7"/>
      <c r="R108" s="9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8"/>
      <c r="M109" s="8"/>
      <c r="N109" s="8" t="str">
        <f aca="false">IF(L109="","",L109+M109*12)</f>
        <v/>
      </c>
      <c r="O109" s="7"/>
      <c r="P109" s="7"/>
      <c r="Q109" s="7"/>
      <c r="R109" s="9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8"/>
      <c r="M110" s="8"/>
      <c r="N110" s="8" t="str">
        <f aca="false">IF(L110="","",L110+M110*12)</f>
        <v/>
      </c>
      <c r="O110" s="7"/>
      <c r="P110" s="7"/>
      <c r="Q110" s="7"/>
      <c r="R110" s="9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8"/>
      <c r="M111" s="8"/>
      <c r="N111" s="8" t="str">
        <f aca="false">IF(L111="","",L111+M111*12)</f>
        <v/>
      </c>
      <c r="O111" s="7"/>
      <c r="P111" s="7"/>
      <c r="Q111" s="7"/>
      <c r="R111" s="9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8"/>
      <c r="M112" s="8"/>
      <c r="N112" s="8" t="str">
        <f aca="false">IF(L112="","",L112+M112*12)</f>
        <v/>
      </c>
      <c r="O112" s="7"/>
      <c r="P112" s="7"/>
      <c r="Q112" s="7"/>
      <c r="R112" s="9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8"/>
      <c r="M113" s="8"/>
      <c r="N113" s="8" t="str">
        <f aca="false">IF(L113="","",L113+M113*12)</f>
        <v/>
      </c>
      <c r="O113" s="7"/>
      <c r="P113" s="7"/>
      <c r="Q113" s="7"/>
      <c r="R113" s="9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8"/>
      <c r="M114" s="8"/>
      <c r="N114" s="8" t="str">
        <f aca="false">IF(L114="","",L114+M114*12)</f>
        <v/>
      </c>
      <c r="O114" s="7"/>
      <c r="P114" s="7"/>
      <c r="Q114" s="7"/>
      <c r="R114" s="9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8"/>
      <c r="M115" s="8"/>
      <c r="N115" s="8" t="str">
        <f aca="false">IF(L115="","",L115+M115*12)</f>
        <v/>
      </c>
      <c r="O115" s="7"/>
      <c r="P115" s="7"/>
      <c r="Q115" s="7"/>
      <c r="R115" s="9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8"/>
      <c r="M116" s="8"/>
      <c r="N116" s="8" t="str">
        <f aca="false">IF(L116="","",L116+M116*12)</f>
        <v/>
      </c>
      <c r="O116" s="7"/>
      <c r="P116" s="7"/>
      <c r="Q116" s="7"/>
      <c r="R116" s="9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8"/>
      <c r="M117" s="8"/>
      <c r="N117" s="8" t="str">
        <f aca="false">IF(L117="","",L117+M117*12)</f>
        <v/>
      </c>
      <c r="O117" s="7"/>
      <c r="P117" s="7"/>
      <c r="Q117" s="7"/>
      <c r="R117" s="9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8"/>
      <c r="M118" s="8"/>
      <c r="N118" s="8" t="str">
        <f aca="false">IF(L118="","",L118+M118*12)</f>
        <v/>
      </c>
      <c r="O118" s="7"/>
      <c r="P118" s="7"/>
      <c r="Q118" s="7"/>
      <c r="R118" s="9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8"/>
      <c r="M119" s="8"/>
      <c r="N119" s="8" t="str">
        <f aca="false">IF(L119="","",L119+M119*12)</f>
        <v/>
      </c>
      <c r="O119" s="7"/>
      <c r="P119" s="7"/>
      <c r="Q119" s="7"/>
      <c r="R119" s="9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8"/>
      <c r="M120" s="8"/>
      <c r="N120" s="8" t="str">
        <f aca="false">IF(L120="","",L120+M120*12)</f>
        <v/>
      </c>
      <c r="O120" s="7"/>
      <c r="P120" s="7"/>
      <c r="Q120" s="7"/>
      <c r="R120" s="9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8"/>
      <c r="M121" s="8"/>
      <c r="N121" s="8" t="str">
        <f aca="false">IF(L121="","",L121+M121*12)</f>
        <v/>
      </c>
      <c r="O121" s="7"/>
      <c r="P121" s="7"/>
      <c r="Q121" s="7"/>
      <c r="R121" s="9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8"/>
      <c r="M122" s="8"/>
      <c r="N122" s="8" t="str">
        <f aca="false">IF(L122="","",L122+M122*12)</f>
        <v/>
      </c>
      <c r="O122" s="7"/>
      <c r="P122" s="7"/>
      <c r="Q122" s="7"/>
      <c r="R122" s="9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8"/>
      <c r="M123" s="8"/>
      <c r="N123" s="8" t="str">
        <f aca="false">IF(L123="","",L123+M123*12)</f>
        <v/>
      </c>
      <c r="O123" s="7"/>
      <c r="P123" s="7"/>
      <c r="Q123" s="7"/>
      <c r="R123" s="9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8"/>
      <c r="M124" s="8"/>
      <c r="N124" s="8" t="str">
        <f aca="false">IF(L124="","",L124+M124*12)</f>
        <v/>
      </c>
      <c r="O124" s="7"/>
      <c r="P124" s="7"/>
      <c r="Q124" s="7"/>
      <c r="R124" s="9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"/>
      <c r="M125" s="8"/>
      <c r="N125" s="8" t="str">
        <f aca="false">IF(L125="","",L125+M125*12)</f>
        <v/>
      </c>
      <c r="O125" s="7"/>
      <c r="P125" s="7"/>
      <c r="Q125" s="7"/>
      <c r="R125" s="9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8"/>
      <c r="M126" s="8"/>
      <c r="N126" s="8" t="str">
        <f aca="false">IF(L126="","",L126+M126*12)</f>
        <v/>
      </c>
      <c r="O126" s="7"/>
      <c r="P126" s="7"/>
      <c r="Q126" s="7"/>
      <c r="R126" s="9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8"/>
      <c r="N127" s="8" t="str">
        <f aca="false">IF(L127="","",L127+M127*12)</f>
        <v/>
      </c>
      <c r="O127" s="7"/>
      <c r="P127" s="7"/>
      <c r="Q127" s="7"/>
      <c r="R127" s="9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8"/>
      <c r="M128" s="8"/>
      <c r="N128" s="8" t="str">
        <f aca="false">IF(L128="","",L128+M128*12)</f>
        <v/>
      </c>
      <c r="O128" s="7"/>
      <c r="P128" s="7"/>
      <c r="Q128" s="7"/>
      <c r="R128" s="9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8"/>
      <c r="M129" s="8"/>
      <c r="N129" s="8" t="str">
        <f aca="false">IF(L129="","",L129+M129*12)</f>
        <v/>
      </c>
      <c r="O129" s="7"/>
      <c r="P129" s="7"/>
      <c r="Q129" s="7"/>
      <c r="R129" s="9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8"/>
      <c r="M130" s="8"/>
      <c r="N130" s="8" t="str">
        <f aca="false">IF(L130="","",L130+M130*12)</f>
        <v/>
      </c>
      <c r="O130" s="7"/>
      <c r="P130" s="7"/>
      <c r="Q130" s="7"/>
      <c r="R130" s="9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8"/>
      <c r="M131" s="8"/>
      <c r="N131" s="8" t="str">
        <f aca="false">IF(L131="","",L131+M131*12)</f>
        <v/>
      </c>
      <c r="O131" s="7"/>
      <c r="P131" s="7"/>
      <c r="Q131" s="7"/>
      <c r="R131" s="9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8"/>
      <c r="M132" s="8"/>
      <c r="N132" s="8" t="str">
        <f aca="false">IF(L132="","",L132+M132*12)</f>
        <v/>
      </c>
      <c r="O132" s="7"/>
      <c r="P132" s="7"/>
      <c r="Q132" s="7"/>
      <c r="R132" s="9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8"/>
      <c r="M133" s="8"/>
      <c r="N133" s="8" t="str">
        <f aca="false">IF(L133="","",L133+M133*12)</f>
        <v/>
      </c>
      <c r="O133" s="7"/>
      <c r="P133" s="7"/>
      <c r="Q133" s="7"/>
      <c r="R133" s="9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8"/>
      <c r="M134" s="8"/>
      <c r="N134" s="8" t="str">
        <f aca="false">IF(L134="","",L134+M134*12)</f>
        <v/>
      </c>
      <c r="O134" s="7"/>
      <c r="P134" s="7"/>
      <c r="Q134" s="7"/>
      <c r="R134" s="9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8"/>
      <c r="M135" s="8"/>
      <c r="N135" s="8" t="str">
        <f aca="false">IF(L135="","",L135+M135*12)</f>
        <v/>
      </c>
      <c r="O135" s="7"/>
      <c r="P135" s="7"/>
      <c r="Q135" s="7"/>
      <c r="R135" s="9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8"/>
      <c r="M136" s="8"/>
      <c r="N136" s="8" t="str">
        <f aca="false">IF(L136="","",L136+M136*12)</f>
        <v/>
      </c>
      <c r="O136" s="7"/>
      <c r="P136" s="7"/>
      <c r="Q136" s="7"/>
      <c r="R136" s="9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8"/>
      <c r="M137" s="8"/>
      <c r="N137" s="8" t="str">
        <f aca="false">IF(L137="","",L137+M137*12)</f>
        <v/>
      </c>
      <c r="O137" s="7"/>
      <c r="P137" s="7"/>
      <c r="Q137" s="7"/>
      <c r="R137" s="9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8"/>
      <c r="M138" s="8"/>
      <c r="N138" s="8" t="str">
        <f aca="false">IF(L138="","",L138+M138*12)</f>
        <v/>
      </c>
      <c r="O138" s="7"/>
      <c r="P138" s="7"/>
      <c r="Q138" s="7"/>
      <c r="R138" s="9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8"/>
      <c r="M139" s="8"/>
      <c r="N139" s="8" t="str">
        <f aca="false">IF(L139="","",L139+M139*12)</f>
        <v/>
      </c>
      <c r="O139" s="7"/>
      <c r="P139" s="7"/>
      <c r="Q139" s="7"/>
      <c r="R139" s="9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8"/>
      <c r="M140" s="8"/>
      <c r="N140" s="8" t="str">
        <f aca="false">IF(L140="","",L140+M140*12)</f>
        <v/>
      </c>
      <c r="O140" s="7"/>
      <c r="P140" s="7"/>
      <c r="Q140" s="7"/>
      <c r="R140" s="9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8"/>
      <c r="M141" s="8"/>
      <c r="N141" s="8" t="str">
        <f aca="false">IF(L141="","",L141+M141*12)</f>
        <v/>
      </c>
      <c r="O141" s="7"/>
      <c r="P141" s="7"/>
      <c r="Q141" s="7"/>
      <c r="R141" s="9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8"/>
      <c r="M142" s="8"/>
      <c r="N142" s="8" t="str">
        <f aca="false">IF(L142="","",L142+M142*12)</f>
        <v/>
      </c>
      <c r="O142" s="7"/>
      <c r="P142" s="7"/>
      <c r="Q142" s="7"/>
      <c r="R142" s="9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8"/>
      <c r="M143" s="8"/>
      <c r="N143" s="8" t="str">
        <f aca="false">IF(L143="","",L143+M143*12)</f>
        <v/>
      </c>
      <c r="O143" s="7"/>
      <c r="P143" s="7"/>
      <c r="Q143" s="7"/>
      <c r="R143" s="9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8"/>
      <c r="M144" s="8"/>
      <c r="N144" s="8" t="str">
        <f aca="false">IF(L144="","",L144+M144*12)</f>
        <v/>
      </c>
      <c r="O144" s="7"/>
      <c r="P144" s="7"/>
      <c r="Q144" s="7"/>
      <c r="R144" s="9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8"/>
      <c r="M145" s="8"/>
      <c r="N145" s="8" t="str">
        <f aca="false">IF(L145="","",L145+M145*12)</f>
        <v/>
      </c>
      <c r="O145" s="7"/>
      <c r="P145" s="7"/>
      <c r="Q145" s="7"/>
      <c r="R145" s="9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8"/>
      <c r="M146" s="8"/>
      <c r="N146" s="8" t="str">
        <f aca="false">IF(L146="","",L146+M146*12)</f>
        <v/>
      </c>
      <c r="O146" s="7"/>
      <c r="P146" s="7"/>
      <c r="Q146" s="7"/>
      <c r="R146" s="9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"/>
      <c r="M147" s="8"/>
      <c r="N147" s="8" t="str">
        <f aca="false">IF(L147="","",L147+M147*12)</f>
        <v/>
      </c>
      <c r="O147" s="7"/>
      <c r="P147" s="7"/>
      <c r="Q147" s="7"/>
      <c r="R147" s="9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8"/>
      <c r="M148" s="8"/>
      <c r="N148" s="8" t="str">
        <f aca="false">IF(L148="","",L148+M148*12)</f>
        <v/>
      </c>
      <c r="O148" s="7"/>
      <c r="P148" s="7"/>
      <c r="Q148" s="7"/>
      <c r="R148" s="9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8"/>
      <c r="M149" s="8"/>
      <c r="N149" s="8" t="str">
        <f aca="false">IF(L149="","",L149+M149*12)</f>
        <v/>
      </c>
      <c r="O149" s="7"/>
      <c r="P149" s="7"/>
      <c r="Q149" s="7"/>
      <c r="R149" s="9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8"/>
      <c r="M150" s="8"/>
      <c r="N150" s="8" t="str">
        <f aca="false">IF(L150="","",L150+M150*12)</f>
        <v/>
      </c>
      <c r="O150" s="7"/>
      <c r="P150" s="7"/>
      <c r="Q150" s="7"/>
      <c r="R150" s="9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8"/>
      <c r="M151" s="8"/>
      <c r="N151" s="8" t="str">
        <f aca="false">IF(L151="","",L151+M151*12)</f>
        <v/>
      </c>
      <c r="O151" s="7"/>
      <c r="P151" s="7"/>
      <c r="Q151" s="7"/>
      <c r="R151" s="9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8"/>
      <c r="M152" s="8"/>
      <c r="N152" s="8" t="str">
        <f aca="false">IF(L152="","",L152+M152*12)</f>
        <v/>
      </c>
      <c r="O152" s="7"/>
      <c r="P152" s="7"/>
      <c r="Q152" s="7"/>
      <c r="R152" s="9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8"/>
      <c r="M153" s="8"/>
      <c r="N153" s="8" t="str">
        <f aca="false">IF(L153="","",L153+M153*12)</f>
        <v/>
      </c>
      <c r="O153" s="7"/>
      <c r="P153" s="7"/>
      <c r="Q153" s="7"/>
      <c r="R153" s="9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8"/>
      <c r="M154" s="8"/>
      <c r="N154" s="8" t="str">
        <f aca="false">IF(L154="","",L154+M154*12)</f>
        <v/>
      </c>
      <c r="O154" s="7"/>
      <c r="P154" s="7"/>
      <c r="Q154" s="7"/>
      <c r="R154" s="9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8"/>
      <c r="M155" s="8"/>
      <c r="N155" s="8" t="str">
        <f aca="false">IF(L155="","",L155+M155*12)</f>
        <v/>
      </c>
      <c r="O155" s="7"/>
      <c r="P155" s="7"/>
      <c r="Q155" s="7"/>
      <c r="R155" s="9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8"/>
      <c r="M156" s="8"/>
      <c r="N156" s="8" t="str">
        <f aca="false">IF(L156="","",L156+M156*12)</f>
        <v/>
      </c>
      <c r="O156" s="7"/>
      <c r="P156" s="7"/>
      <c r="Q156" s="7"/>
      <c r="R156" s="9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8"/>
      <c r="M157" s="8"/>
      <c r="N157" s="8" t="str">
        <f aca="false">IF(L157="","",L157+M157*12)</f>
        <v/>
      </c>
      <c r="O157" s="7"/>
      <c r="P157" s="7"/>
      <c r="Q157" s="7"/>
      <c r="R157" s="9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8"/>
      <c r="M158" s="8"/>
      <c r="N158" s="8" t="str">
        <f aca="false">IF(L158="","",L158+M158*12)</f>
        <v/>
      </c>
      <c r="O158" s="7"/>
      <c r="P158" s="7"/>
      <c r="Q158" s="7"/>
      <c r="R158" s="9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8"/>
      <c r="M159" s="8"/>
      <c r="N159" s="8" t="str">
        <f aca="false">IF(L159="","",L159+M159*12)</f>
        <v/>
      </c>
      <c r="O159" s="7"/>
      <c r="P159" s="7"/>
      <c r="Q159" s="7"/>
      <c r="R159" s="9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8"/>
      <c r="M160" s="8"/>
      <c r="N160" s="8" t="str">
        <f aca="false">IF(L160="","",L160+M160*12)</f>
        <v/>
      </c>
      <c r="O160" s="7"/>
      <c r="P160" s="7"/>
      <c r="Q160" s="7"/>
      <c r="R160" s="9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8"/>
      <c r="M161" s="8"/>
      <c r="N161" s="8" t="str">
        <f aca="false">IF(L161="","",L161+M161*12)</f>
        <v/>
      </c>
      <c r="O161" s="7"/>
      <c r="P161" s="7"/>
      <c r="Q161" s="7"/>
      <c r="R161" s="9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8"/>
      <c r="M162" s="8"/>
      <c r="N162" s="8" t="str">
        <f aca="false">IF(L162="","",L162+M162*12)</f>
        <v/>
      </c>
      <c r="O162" s="7"/>
      <c r="P162" s="7"/>
      <c r="Q162" s="7"/>
      <c r="R162" s="9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8"/>
      <c r="M163" s="8"/>
      <c r="N163" s="8" t="str">
        <f aca="false">IF(L163="","",L163+M163*12)</f>
        <v/>
      </c>
      <c r="O163" s="7"/>
      <c r="P163" s="7"/>
      <c r="Q163" s="7"/>
      <c r="R163" s="9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8"/>
      <c r="M164" s="8"/>
      <c r="N164" s="8" t="str">
        <f aca="false">IF(L164="","",L164+M164*12)</f>
        <v/>
      </c>
      <c r="O164" s="7"/>
      <c r="P164" s="7"/>
      <c r="Q164" s="7"/>
      <c r="R164" s="9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8"/>
      <c r="M165" s="8"/>
      <c r="N165" s="8" t="str">
        <f aca="false">IF(L165="","",L165+M165*12)</f>
        <v/>
      </c>
      <c r="O165" s="7"/>
      <c r="P165" s="7"/>
      <c r="Q165" s="7"/>
      <c r="R165" s="9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8"/>
      <c r="M166" s="8"/>
      <c r="N166" s="8" t="str">
        <f aca="false">IF(L166="","",L166+M166*12)</f>
        <v/>
      </c>
      <c r="O166" s="7"/>
      <c r="P166" s="7"/>
      <c r="Q166" s="7"/>
      <c r="R166" s="9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8"/>
      <c r="M167" s="8"/>
      <c r="N167" s="8" t="str">
        <f aca="false">IF(L167="","",L167+M167*12)</f>
        <v/>
      </c>
      <c r="O167" s="7"/>
      <c r="P167" s="7"/>
      <c r="Q167" s="7"/>
      <c r="R167" s="9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8"/>
      <c r="M168" s="8"/>
      <c r="N168" s="8" t="str">
        <f aca="false">IF(L168="","",L168+M168*12)</f>
        <v/>
      </c>
      <c r="O168" s="7"/>
      <c r="P168" s="7"/>
      <c r="Q168" s="7"/>
      <c r="R168" s="9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8"/>
      <c r="M169" s="8"/>
      <c r="N169" s="8" t="str">
        <f aca="false">IF(L169="","",L169+M169*12)</f>
        <v/>
      </c>
      <c r="O169" s="7"/>
      <c r="P169" s="7"/>
      <c r="Q169" s="7"/>
      <c r="R169" s="9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8"/>
      <c r="M170" s="8"/>
      <c r="N170" s="8" t="str">
        <f aca="false">IF(L170="","",L170+M170*12)</f>
        <v/>
      </c>
      <c r="O170" s="7"/>
      <c r="P170" s="7"/>
      <c r="Q170" s="7"/>
      <c r="R170" s="9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8"/>
      <c r="M171" s="8"/>
      <c r="N171" s="8" t="str">
        <f aca="false">IF(L171="","",L171+M171*12)</f>
        <v/>
      </c>
      <c r="O171" s="7"/>
      <c r="P171" s="7"/>
      <c r="Q171" s="7"/>
      <c r="R171" s="9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8"/>
      <c r="M172" s="8"/>
      <c r="N172" s="8" t="str">
        <f aca="false">IF(L172="","",L172+M172*12)</f>
        <v/>
      </c>
      <c r="O172" s="7"/>
      <c r="P172" s="7"/>
      <c r="Q172" s="7"/>
      <c r="R172" s="9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8"/>
      <c r="M173" s="8"/>
      <c r="N173" s="8" t="str">
        <f aca="false">IF(L173="","",L173+M173*12)</f>
        <v/>
      </c>
      <c r="O173" s="7"/>
      <c r="P173" s="7"/>
      <c r="Q173" s="7"/>
      <c r="R173" s="9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8"/>
      <c r="M174" s="8"/>
      <c r="N174" s="8" t="str">
        <f aca="false">IF(L174="","",L174+M174*12)</f>
        <v/>
      </c>
      <c r="O174" s="7"/>
      <c r="P174" s="7"/>
      <c r="Q174" s="7"/>
      <c r="R174" s="9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8"/>
      <c r="M175" s="8"/>
      <c r="N175" s="8" t="str">
        <f aca="false">IF(L175="","",L175+M175*12)</f>
        <v/>
      </c>
      <c r="O175" s="7"/>
      <c r="P175" s="7"/>
      <c r="Q175" s="7"/>
      <c r="R175" s="9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8"/>
      <c r="M176" s="8"/>
      <c r="N176" s="8" t="str">
        <f aca="false">IF(L176="","",L176+M176*12)</f>
        <v/>
      </c>
      <c r="O176" s="7"/>
      <c r="P176" s="7"/>
      <c r="Q176" s="7"/>
      <c r="R176" s="9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8"/>
      <c r="M177" s="8"/>
      <c r="N177" s="8" t="str">
        <f aca="false">IF(L177="","",L177+M177*12)</f>
        <v/>
      </c>
      <c r="O177" s="7"/>
      <c r="P177" s="7"/>
      <c r="Q177" s="7"/>
      <c r="R177" s="9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8"/>
      <c r="M178" s="8"/>
      <c r="N178" s="8" t="str">
        <f aca="false">IF(L178="","",L178+M178*12)</f>
        <v/>
      </c>
      <c r="O178" s="7"/>
      <c r="P178" s="7"/>
      <c r="Q178" s="7"/>
      <c r="R178" s="9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8"/>
      <c r="M179" s="8"/>
      <c r="N179" s="8" t="str">
        <f aca="false">IF(L179="","",L179+M179*12)</f>
        <v/>
      </c>
      <c r="O179" s="7"/>
      <c r="P179" s="7"/>
      <c r="Q179" s="7"/>
      <c r="R179" s="9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8"/>
      <c r="M180" s="8"/>
      <c r="N180" s="8" t="str">
        <f aca="false">IF(L180="","",L180+M180*12)</f>
        <v/>
      </c>
      <c r="O180" s="7"/>
      <c r="P180" s="7"/>
      <c r="Q180" s="7"/>
      <c r="R180" s="9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8"/>
      <c r="M181" s="8"/>
      <c r="N181" s="8" t="str">
        <f aca="false">IF(L181="","",L181+M181*12)</f>
        <v/>
      </c>
      <c r="O181" s="7"/>
      <c r="P181" s="7"/>
      <c r="Q181" s="7"/>
      <c r="R181" s="9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8"/>
      <c r="M182" s="8"/>
      <c r="N182" s="8" t="str">
        <f aca="false">IF(L182="","",L182+M182*12)</f>
        <v/>
      </c>
      <c r="O182" s="7"/>
      <c r="P182" s="7"/>
      <c r="Q182" s="7"/>
      <c r="R182" s="9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8"/>
      <c r="M183" s="8"/>
      <c r="N183" s="8" t="str">
        <f aca="false">IF(L183="","",L183+M183*12)</f>
        <v/>
      </c>
      <c r="O183" s="7"/>
      <c r="P183" s="7"/>
      <c r="Q183" s="7"/>
      <c r="R183" s="9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8"/>
      <c r="M184" s="8"/>
      <c r="N184" s="8" t="str">
        <f aca="false">IF(L184="","",L184+M184*12)</f>
        <v/>
      </c>
      <c r="O184" s="7"/>
      <c r="P184" s="7"/>
      <c r="Q184" s="7"/>
      <c r="R184" s="9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8"/>
      <c r="M185" s="8"/>
      <c r="N185" s="8" t="str">
        <f aca="false">IF(L185="","",L185+M185*12)</f>
        <v/>
      </c>
      <c r="O185" s="7"/>
      <c r="P185" s="7"/>
      <c r="Q185" s="7"/>
      <c r="R185" s="9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8"/>
      <c r="M186" s="8"/>
      <c r="N186" s="8" t="str">
        <f aca="false">IF(L186="","",L186+M186*12)</f>
        <v/>
      </c>
      <c r="O186" s="7"/>
      <c r="P186" s="7"/>
      <c r="Q186" s="7"/>
      <c r="R186" s="9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8"/>
      <c r="M187" s="8"/>
      <c r="N187" s="8" t="str">
        <f aca="false">IF(L187="","",L187+M187*12)</f>
        <v/>
      </c>
      <c r="O187" s="7"/>
      <c r="P187" s="7"/>
      <c r="Q187" s="7"/>
      <c r="R187" s="9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8"/>
      <c r="M188" s="8"/>
      <c r="N188" s="8" t="str">
        <f aca="false">IF(L188="","",L188+M188*12)</f>
        <v/>
      </c>
      <c r="O188" s="7"/>
      <c r="P188" s="7"/>
      <c r="Q188" s="7"/>
      <c r="R188" s="9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8"/>
      <c r="M189" s="8"/>
      <c r="N189" s="8" t="str">
        <f aca="false">IF(L189="","",L189+M189*12)</f>
        <v/>
      </c>
      <c r="O189" s="7"/>
      <c r="P189" s="7"/>
      <c r="Q189" s="7"/>
      <c r="R189" s="9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8"/>
      <c r="M190" s="8"/>
      <c r="N190" s="8" t="str">
        <f aca="false">IF(L190="","",L190+M190*12)</f>
        <v/>
      </c>
      <c r="O190" s="7"/>
      <c r="P190" s="7"/>
      <c r="Q190" s="7"/>
      <c r="R190" s="9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8"/>
      <c r="M191" s="8"/>
      <c r="N191" s="8" t="str">
        <f aca="false">IF(L191="","",L191+M191*12)</f>
        <v/>
      </c>
      <c r="O191" s="7"/>
      <c r="P191" s="7"/>
      <c r="Q191" s="7"/>
      <c r="R191" s="9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8"/>
      <c r="M192" s="8"/>
      <c r="N192" s="8" t="str">
        <f aca="false">IF(L192="","",L192+M192*12)</f>
        <v/>
      </c>
      <c r="O192" s="7"/>
      <c r="P192" s="7"/>
      <c r="Q192" s="7"/>
      <c r="R192" s="9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8"/>
      <c r="M193" s="8"/>
      <c r="N193" s="8" t="str">
        <f aca="false">IF(L193="","",L193+M193*12)</f>
        <v/>
      </c>
      <c r="O193" s="7"/>
      <c r="P193" s="7"/>
      <c r="Q193" s="7"/>
      <c r="R193" s="9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8"/>
      <c r="M194" s="8"/>
      <c r="N194" s="8" t="str">
        <f aca="false">IF(L194="","",L194+M194*12)</f>
        <v/>
      </c>
      <c r="O194" s="7"/>
      <c r="P194" s="7"/>
      <c r="Q194" s="7"/>
      <c r="R194" s="9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8"/>
      <c r="M195" s="8"/>
      <c r="N195" s="8" t="str">
        <f aca="false">IF(L195="","",L195+M195*12)</f>
        <v/>
      </c>
      <c r="O195" s="7"/>
      <c r="P195" s="7"/>
      <c r="Q195" s="7"/>
      <c r="R195" s="9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8"/>
      <c r="M196" s="8"/>
      <c r="N196" s="8" t="str">
        <f aca="false">IF(L196="","",L196+M196*12)</f>
        <v/>
      </c>
      <c r="O196" s="7"/>
      <c r="P196" s="7"/>
      <c r="Q196" s="7"/>
      <c r="R196" s="9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8"/>
      <c r="M197" s="8"/>
      <c r="N197" s="8" t="str">
        <f aca="false">IF(L197="","",L197+M197*12)</f>
        <v/>
      </c>
      <c r="O197" s="7"/>
      <c r="P197" s="7"/>
      <c r="Q197" s="7"/>
      <c r="R197" s="9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8"/>
      <c r="M198" s="8"/>
      <c r="N198" s="8" t="str">
        <f aca="false">IF(L198="","",L198+M198*12)</f>
        <v/>
      </c>
      <c r="O198" s="7"/>
      <c r="P198" s="7"/>
      <c r="Q198" s="7"/>
      <c r="R198" s="9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8"/>
      <c r="M199" s="8"/>
      <c r="N199" s="8" t="str">
        <f aca="false">IF(L199="","",L199+M199*12)</f>
        <v/>
      </c>
      <c r="O199" s="7"/>
      <c r="P199" s="7"/>
      <c r="Q199" s="7"/>
      <c r="R199" s="9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8"/>
      <c r="M200" s="8"/>
      <c r="N200" s="8" t="str">
        <f aca="false">IF(L200="","",L200+M200*12)</f>
        <v/>
      </c>
      <c r="O200" s="7"/>
      <c r="P200" s="7"/>
      <c r="Q200" s="7"/>
      <c r="R200" s="9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8"/>
      <c r="M201" s="8"/>
      <c r="N201" s="8" t="str">
        <f aca="false">IF(L201="","",L201+M201*12)</f>
        <v/>
      </c>
      <c r="O201" s="7"/>
      <c r="P201" s="7"/>
      <c r="Q201" s="7"/>
      <c r="R201" s="9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8"/>
      <c r="M202" s="8"/>
      <c r="N202" s="8" t="str">
        <f aca="false">IF(L202="","",L202+M202*12)</f>
        <v/>
      </c>
      <c r="O202" s="7"/>
      <c r="P202" s="7"/>
      <c r="Q202" s="7"/>
      <c r="R202" s="9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8"/>
      <c r="M203" s="8"/>
      <c r="N203" s="8" t="str">
        <f aca="false">IF(L203="","",L203+M203*12)</f>
        <v/>
      </c>
      <c r="O203" s="7"/>
      <c r="P203" s="7"/>
      <c r="Q203" s="7"/>
      <c r="R203" s="9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8"/>
      <c r="M204" s="8"/>
      <c r="N204" s="8" t="str">
        <f aca="false">IF(L204="","",L204+M204*12)</f>
        <v/>
      </c>
      <c r="O204" s="7"/>
      <c r="P204" s="7"/>
      <c r="Q204" s="7"/>
      <c r="R204" s="9"/>
    </row>
  </sheetData>
  <dataValidations count="4">
    <dataValidation allowBlank="true" errorStyle="stop" operator="between" showDropDown="false" showErrorMessage="false" showInputMessage="false" sqref="O5:O204" type="list">
      <formula1>"Not Contacted,Contacted,Replied,Demo Booked,Demo Done,Proposal Sent,Closed Won,Closed Lost,Nurture"</formula1>
      <formula2>0</formula2>
    </dataValidation>
    <dataValidation allowBlank="true" errorStyle="stop" operator="between" showDropDown="false" showErrorMessage="false" showInputMessage="false" sqref="K5:K204" type="list">
      <formula1>"Starter,Professional,Clinic Plus"</formula1>
      <formula2>0</formula2>
    </dataValidation>
    <dataValidation allowBlank="true" errorStyle="stop" operator="between" showDropDown="false" showErrorMessage="false" showInputMessage="false" sqref="I5:I204" type="list">
      <formula1>"Yes,No,Bad one"</formula1>
      <formula2>0</formula2>
    </dataValidation>
    <dataValidation allowBlank="true" errorStyle="stop" operator="between" showDropDown="false" showErrorMessage="false" showInputMessage="false" sqref="J5:J2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10" min="7" style="0" width="14"/>
    <col collapsed="false" customWidth="true" hidden="false" outlineLevel="0" max="11" min="11" style="0" width="22"/>
    <col collapsed="false" customWidth="true" hidden="false" outlineLevel="0" max="12" min="12" style="0" width="13"/>
  </cols>
  <sheetData>
    <row r="1" customFormat="false" ht="24" hidden="false" customHeight="tru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3" customFormat="false" ht="15" hidden="false" customHeight="false" outlineLevel="0" collapsed="false">
      <c r="A3" s="2" t="s">
        <v>71</v>
      </c>
    </row>
    <row r="4" customFormat="false" ht="30" hidden="false" customHeight="true" outlineLevel="0" collapsed="false">
      <c r="A4" s="6" t="s">
        <v>38</v>
      </c>
      <c r="B4" s="6" t="s">
        <v>72</v>
      </c>
      <c r="C4" s="6" t="s">
        <v>43</v>
      </c>
      <c r="D4" s="6" t="s">
        <v>44</v>
      </c>
      <c r="E4" s="6" t="s">
        <v>45</v>
      </c>
      <c r="F4" s="6" t="s">
        <v>73</v>
      </c>
      <c r="G4" s="6" t="s">
        <v>74</v>
      </c>
      <c r="H4" s="6" t="s">
        <v>47</v>
      </c>
      <c r="I4" s="6" t="s">
        <v>75</v>
      </c>
      <c r="J4" s="6" t="s">
        <v>76</v>
      </c>
      <c r="K4" s="6" t="s">
        <v>77</v>
      </c>
      <c r="L4" s="6" t="s">
        <v>78</v>
      </c>
    </row>
    <row r="5" customFormat="false" ht="15" hidden="false" customHeight="false" outlineLevel="0" collapsed="false">
      <c r="A5" s="7" t="s">
        <v>56</v>
      </c>
      <c r="B5" s="7" t="s">
        <v>79</v>
      </c>
      <c r="C5" s="7" t="s">
        <v>61</v>
      </c>
      <c r="D5" s="7" t="n">
        <v>4.7</v>
      </c>
      <c r="E5" s="7" t="n">
        <v>132</v>
      </c>
      <c r="F5" s="7" t="s">
        <v>80</v>
      </c>
      <c r="G5" s="7" t="s">
        <v>62</v>
      </c>
      <c r="H5" s="7" t="s">
        <v>63</v>
      </c>
      <c r="I5" s="7" t="s">
        <v>63</v>
      </c>
      <c r="J5" s="10" t="n">
        <f aca="false">IF(A5="","",(IF(D5&gt;=4,1,0))+(IF(E5&gt;=20,1,0))+(IF(G5="No",1,0))+(IF(H5="Yes",1,0))+(IF(I5="Yes",1,0)))</f>
        <v>5</v>
      </c>
      <c r="K5" s="7" t="str">
        <f aca="false">IF(A5="","",IF(J5&gt;=3,"MOVE TO PIPELINE","Keep looking"))</f>
        <v>MOVE TO PIPELINE</v>
      </c>
      <c r="L5" s="7" t="s">
        <v>81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10" t="str">
        <f aca="false">IF(A6="","",(IF(D6&gt;=4,1,0))+(IF(E6&gt;=20,1,0))+(IF(G6="No",1,0))+(IF(H6="Yes",1,0))+(IF(I6="Yes",1,0)))</f>
        <v/>
      </c>
      <c r="K6" s="7" t="str">
        <f aca="false">IF(A6="","",IF(J6&gt;=3,"MOVE TO PIPELINE","Keep looking"))</f>
        <v/>
      </c>
      <c r="L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10" t="str">
        <f aca="false">IF(A7="","",(IF(D7&gt;=4,1,0))+(IF(E7&gt;=20,1,0))+(IF(G7="No",1,0))+(IF(H7="Yes",1,0))+(IF(I7="Yes",1,0)))</f>
        <v/>
      </c>
      <c r="K7" s="7" t="str">
        <f aca="false">IF(A7="","",IF(J7&gt;=3,"MOVE TO PIPELINE","Keep looking"))</f>
        <v/>
      </c>
      <c r="L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10" t="str">
        <f aca="false">IF(A8="","",(IF(D8&gt;=4,1,0))+(IF(E8&gt;=20,1,0))+(IF(G8="No",1,0))+(IF(H8="Yes",1,0))+(IF(I8="Yes",1,0)))</f>
        <v/>
      </c>
      <c r="K8" s="7" t="str">
        <f aca="false">IF(A8="","",IF(J8&gt;=3,"MOVE TO PIPELINE","Keep looking"))</f>
        <v/>
      </c>
      <c r="L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10" t="str">
        <f aca="false">IF(A9="","",(IF(D9&gt;=4,1,0))+(IF(E9&gt;=20,1,0))+(IF(G9="No",1,0))+(IF(H9="Yes",1,0))+(IF(I9="Yes",1,0)))</f>
        <v/>
      </c>
      <c r="K9" s="7" t="str">
        <f aca="false">IF(A9="","",IF(J9&gt;=3,"MOVE TO PIPELINE","Keep looking"))</f>
        <v/>
      </c>
      <c r="L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10" t="str">
        <f aca="false">IF(A10="","",(IF(D10&gt;=4,1,0))+(IF(E10&gt;=20,1,0))+(IF(G10="No",1,0))+(IF(H10="Yes",1,0))+(IF(I10="Yes",1,0)))</f>
        <v/>
      </c>
      <c r="K10" s="7" t="str">
        <f aca="false">IF(A10="","",IF(J10&gt;=3,"MOVE TO PIPELINE","Keep looking"))</f>
        <v/>
      </c>
      <c r="L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10" t="str">
        <f aca="false">IF(A11="","",(IF(D11&gt;=4,1,0))+(IF(E11&gt;=20,1,0))+(IF(G11="No",1,0))+(IF(H11="Yes",1,0))+(IF(I11="Yes",1,0)))</f>
        <v/>
      </c>
      <c r="K11" s="7" t="str">
        <f aca="false">IF(A11="","",IF(J11&gt;=3,"MOVE TO PIPELINE","Keep looking"))</f>
        <v/>
      </c>
      <c r="L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10" t="str">
        <f aca="false">IF(A12="","",(IF(D12&gt;=4,1,0))+(IF(E12&gt;=20,1,0))+(IF(G12="No",1,0))+(IF(H12="Yes",1,0))+(IF(I12="Yes",1,0)))</f>
        <v/>
      </c>
      <c r="K12" s="7" t="str">
        <f aca="false">IF(A12="","",IF(J12&gt;=3,"MOVE TO PIPELINE","Keep looking"))</f>
        <v/>
      </c>
      <c r="L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10" t="str">
        <f aca="false">IF(A13="","",(IF(D13&gt;=4,1,0))+(IF(E13&gt;=20,1,0))+(IF(G13="No",1,0))+(IF(H13="Yes",1,0))+(IF(I13="Yes",1,0)))</f>
        <v/>
      </c>
      <c r="K13" s="7" t="str">
        <f aca="false">IF(A13="","",IF(J13&gt;=3,"MOVE TO PIPELINE","Keep looking"))</f>
        <v/>
      </c>
      <c r="L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10" t="str">
        <f aca="false">IF(A14="","",(IF(D14&gt;=4,1,0))+(IF(E14&gt;=20,1,0))+(IF(G14="No",1,0))+(IF(H14="Yes",1,0))+(IF(I14="Yes",1,0)))</f>
        <v/>
      </c>
      <c r="K14" s="7" t="str">
        <f aca="false">IF(A14="","",IF(J14&gt;=3,"MOVE TO PIPELINE","Keep looking"))</f>
        <v/>
      </c>
      <c r="L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10" t="str">
        <f aca="false">IF(A15="","",(IF(D15&gt;=4,1,0))+(IF(E15&gt;=20,1,0))+(IF(G15="No",1,0))+(IF(H15="Yes",1,0))+(IF(I15="Yes",1,0)))</f>
        <v/>
      </c>
      <c r="K15" s="7" t="str">
        <f aca="false">IF(A15="","",IF(J15&gt;=3,"MOVE TO PIPELINE","Keep looking"))</f>
        <v/>
      </c>
      <c r="L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10" t="str">
        <f aca="false">IF(A16="","",(IF(D16&gt;=4,1,0))+(IF(E16&gt;=20,1,0))+(IF(G16="No",1,0))+(IF(H16="Yes",1,0))+(IF(I16="Yes",1,0)))</f>
        <v/>
      </c>
      <c r="K16" s="7" t="str">
        <f aca="false">IF(A16="","",IF(J16&gt;=3,"MOVE TO PIPELINE","Keep looking"))</f>
        <v/>
      </c>
      <c r="L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10" t="str">
        <f aca="false">IF(A17="","",(IF(D17&gt;=4,1,0))+(IF(E17&gt;=20,1,0))+(IF(G17="No",1,0))+(IF(H17="Yes",1,0))+(IF(I17="Yes",1,0)))</f>
        <v/>
      </c>
      <c r="K17" s="7" t="str">
        <f aca="false">IF(A17="","",IF(J17&gt;=3,"MOVE TO PIPELINE","Keep looking"))</f>
        <v/>
      </c>
      <c r="L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10" t="str">
        <f aca="false">IF(A18="","",(IF(D18&gt;=4,1,0))+(IF(E18&gt;=20,1,0))+(IF(G18="No",1,0))+(IF(H18="Yes",1,0))+(IF(I18="Yes",1,0)))</f>
        <v/>
      </c>
      <c r="K18" s="7" t="str">
        <f aca="false">IF(A18="","",IF(J18&gt;=3,"MOVE TO PIPELINE","Keep looking"))</f>
        <v/>
      </c>
      <c r="L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10" t="str">
        <f aca="false">IF(A19="","",(IF(D19&gt;=4,1,0))+(IF(E19&gt;=20,1,0))+(IF(G19="No",1,0))+(IF(H19="Yes",1,0))+(IF(I19="Yes",1,0)))</f>
        <v/>
      </c>
      <c r="K19" s="7" t="str">
        <f aca="false">IF(A19="","",IF(J19&gt;=3,"MOVE TO PIPELINE","Keep looking"))</f>
        <v/>
      </c>
      <c r="L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10" t="str">
        <f aca="false">IF(A20="","",(IF(D20&gt;=4,1,0))+(IF(E20&gt;=20,1,0))+(IF(G20="No",1,0))+(IF(H20="Yes",1,0))+(IF(I20="Yes",1,0)))</f>
        <v/>
      </c>
      <c r="K20" s="7" t="str">
        <f aca="false">IF(A20="","",IF(J20&gt;=3,"MOVE TO PIPELINE","Keep looking"))</f>
        <v/>
      </c>
      <c r="L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10" t="str">
        <f aca="false">IF(A21="","",(IF(D21&gt;=4,1,0))+(IF(E21&gt;=20,1,0))+(IF(G21="No",1,0))+(IF(H21="Yes",1,0))+(IF(I21="Yes",1,0)))</f>
        <v/>
      </c>
      <c r="K21" s="7" t="str">
        <f aca="false">IF(A21="","",IF(J21&gt;=3,"MOVE TO PIPELINE","Keep looking"))</f>
        <v/>
      </c>
      <c r="L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10" t="str">
        <f aca="false">IF(A22="","",(IF(D22&gt;=4,1,0))+(IF(E22&gt;=20,1,0))+(IF(G22="No",1,0))+(IF(H22="Yes",1,0))+(IF(I22="Yes",1,0)))</f>
        <v/>
      </c>
      <c r="K22" s="7" t="str">
        <f aca="false">IF(A22="","",IF(J22&gt;=3,"MOVE TO PIPELINE","Keep looking"))</f>
        <v/>
      </c>
      <c r="L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10" t="str">
        <f aca="false">IF(A23="","",(IF(D23&gt;=4,1,0))+(IF(E23&gt;=20,1,0))+(IF(G23="No",1,0))+(IF(H23="Yes",1,0))+(IF(I23="Yes",1,0)))</f>
        <v/>
      </c>
      <c r="K23" s="7" t="str">
        <f aca="false">IF(A23="","",IF(J23&gt;=3,"MOVE TO PIPELINE","Keep looking"))</f>
        <v/>
      </c>
      <c r="L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10" t="str">
        <f aca="false">IF(A24="","",(IF(D24&gt;=4,1,0))+(IF(E24&gt;=20,1,0))+(IF(G24="No",1,0))+(IF(H24="Yes",1,0))+(IF(I24="Yes",1,0)))</f>
        <v/>
      </c>
      <c r="K24" s="7" t="str">
        <f aca="false">IF(A24="","",IF(J24&gt;=3,"MOVE TO PIPELINE","Keep looking"))</f>
        <v/>
      </c>
      <c r="L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10" t="str">
        <f aca="false">IF(A25="","",(IF(D25&gt;=4,1,0))+(IF(E25&gt;=20,1,0))+(IF(G25="No",1,0))+(IF(H25="Yes",1,0))+(IF(I25="Yes",1,0)))</f>
        <v/>
      </c>
      <c r="K25" s="7" t="str">
        <f aca="false">IF(A25="","",IF(J25&gt;=3,"MOVE TO PIPELINE","Keep looking"))</f>
        <v/>
      </c>
      <c r="L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10" t="str">
        <f aca="false">IF(A26="","",(IF(D26&gt;=4,1,0))+(IF(E26&gt;=20,1,0))+(IF(G26="No",1,0))+(IF(H26="Yes",1,0))+(IF(I26="Yes",1,0)))</f>
        <v/>
      </c>
      <c r="K26" s="7" t="str">
        <f aca="false">IF(A26="","",IF(J26&gt;=3,"MOVE TO PIPELINE","Keep looking"))</f>
        <v/>
      </c>
      <c r="L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10" t="str">
        <f aca="false">IF(A27="","",(IF(D27&gt;=4,1,0))+(IF(E27&gt;=20,1,0))+(IF(G27="No",1,0))+(IF(H27="Yes",1,0))+(IF(I27="Yes",1,0)))</f>
        <v/>
      </c>
      <c r="K27" s="7" t="str">
        <f aca="false">IF(A27="","",IF(J27&gt;=3,"MOVE TO PIPELINE","Keep looking"))</f>
        <v/>
      </c>
      <c r="L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10" t="str">
        <f aca="false">IF(A28="","",(IF(D28&gt;=4,1,0))+(IF(E28&gt;=20,1,0))+(IF(G28="No",1,0))+(IF(H28="Yes",1,0))+(IF(I28="Yes",1,0)))</f>
        <v/>
      </c>
      <c r="K28" s="7" t="str">
        <f aca="false">IF(A28="","",IF(J28&gt;=3,"MOVE TO PIPELINE","Keep looking"))</f>
        <v/>
      </c>
      <c r="L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10" t="str">
        <f aca="false">IF(A29="","",(IF(D29&gt;=4,1,0))+(IF(E29&gt;=20,1,0))+(IF(G29="No",1,0))+(IF(H29="Yes",1,0))+(IF(I29="Yes",1,0)))</f>
        <v/>
      </c>
      <c r="K29" s="7" t="str">
        <f aca="false">IF(A29="","",IF(J29&gt;=3,"MOVE TO PIPELINE","Keep looking"))</f>
        <v/>
      </c>
      <c r="L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10" t="str">
        <f aca="false">IF(A30="","",(IF(D30&gt;=4,1,0))+(IF(E30&gt;=20,1,0))+(IF(G30="No",1,0))+(IF(H30="Yes",1,0))+(IF(I30="Yes",1,0)))</f>
        <v/>
      </c>
      <c r="K30" s="7" t="str">
        <f aca="false">IF(A30="","",IF(J30&gt;=3,"MOVE TO PIPELINE","Keep looking"))</f>
        <v/>
      </c>
      <c r="L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10" t="str">
        <f aca="false">IF(A31="","",(IF(D31&gt;=4,1,0))+(IF(E31&gt;=20,1,0))+(IF(G31="No",1,0))+(IF(H31="Yes",1,0))+(IF(I31="Yes",1,0)))</f>
        <v/>
      </c>
      <c r="K31" s="7" t="str">
        <f aca="false">IF(A31="","",IF(J31&gt;=3,"MOVE TO PIPELINE","Keep looking"))</f>
        <v/>
      </c>
      <c r="L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10" t="str">
        <f aca="false">IF(A32="","",(IF(D32&gt;=4,1,0))+(IF(E32&gt;=20,1,0))+(IF(G32="No",1,0))+(IF(H32="Yes",1,0))+(IF(I32="Yes",1,0)))</f>
        <v/>
      </c>
      <c r="K32" s="7" t="str">
        <f aca="false">IF(A32="","",IF(J32&gt;=3,"MOVE TO PIPELINE","Keep looking"))</f>
        <v/>
      </c>
      <c r="L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10" t="str">
        <f aca="false">IF(A33="","",(IF(D33&gt;=4,1,0))+(IF(E33&gt;=20,1,0))+(IF(G33="No",1,0))+(IF(H33="Yes",1,0))+(IF(I33="Yes",1,0)))</f>
        <v/>
      </c>
      <c r="K33" s="7" t="str">
        <f aca="false">IF(A33="","",IF(J33&gt;=3,"MOVE TO PIPELINE","Keep looking"))</f>
        <v/>
      </c>
      <c r="L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10" t="str">
        <f aca="false">IF(A34="","",(IF(D34&gt;=4,1,0))+(IF(E34&gt;=20,1,0))+(IF(G34="No",1,0))+(IF(H34="Yes",1,0))+(IF(I34="Yes",1,0)))</f>
        <v/>
      </c>
      <c r="K34" s="7" t="str">
        <f aca="false">IF(A34="","",IF(J34&gt;=3,"MOVE TO PIPELINE","Keep looking"))</f>
        <v/>
      </c>
      <c r="L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10" t="str">
        <f aca="false">IF(A35="","",(IF(D35&gt;=4,1,0))+(IF(E35&gt;=20,1,0))+(IF(G35="No",1,0))+(IF(H35="Yes",1,0))+(IF(I35="Yes",1,0)))</f>
        <v/>
      </c>
      <c r="K35" s="7" t="str">
        <f aca="false">IF(A35="","",IF(J35&gt;=3,"MOVE TO PIPELINE","Keep looking"))</f>
        <v/>
      </c>
      <c r="L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10" t="str">
        <f aca="false">IF(A36="","",(IF(D36&gt;=4,1,0))+(IF(E36&gt;=20,1,0))+(IF(G36="No",1,0))+(IF(H36="Yes",1,0))+(IF(I36="Yes",1,0)))</f>
        <v/>
      </c>
      <c r="K36" s="7" t="str">
        <f aca="false">IF(A36="","",IF(J36&gt;=3,"MOVE TO PIPELINE","Keep looking"))</f>
        <v/>
      </c>
      <c r="L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10" t="str">
        <f aca="false">IF(A37="","",(IF(D37&gt;=4,1,0))+(IF(E37&gt;=20,1,0))+(IF(G37="No",1,0))+(IF(H37="Yes",1,0))+(IF(I37="Yes",1,0)))</f>
        <v/>
      </c>
      <c r="K37" s="7" t="str">
        <f aca="false">IF(A37="","",IF(J37&gt;=3,"MOVE TO PIPELINE","Keep looking"))</f>
        <v/>
      </c>
      <c r="L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10" t="str">
        <f aca="false">IF(A38="","",(IF(D38&gt;=4,1,0))+(IF(E38&gt;=20,1,0))+(IF(G38="No",1,0))+(IF(H38="Yes",1,0))+(IF(I38="Yes",1,0)))</f>
        <v/>
      </c>
      <c r="K38" s="7" t="str">
        <f aca="false">IF(A38="","",IF(J38&gt;=3,"MOVE TO PIPELINE","Keep looking"))</f>
        <v/>
      </c>
      <c r="L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10" t="str">
        <f aca="false">IF(A39="","",(IF(D39&gt;=4,1,0))+(IF(E39&gt;=20,1,0))+(IF(G39="No",1,0))+(IF(H39="Yes",1,0))+(IF(I39="Yes",1,0)))</f>
        <v/>
      </c>
      <c r="K39" s="7" t="str">
        <f aca="false">IF(A39="","",IF(J39&gt;=3,"MOVE TO PIPELINE","Keep looking"))</f>
        <v/>
      </c>
      <c r="L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10" t="str">
        <f aca="false">IF(A40="","",(IF(D40&gt;=4,1,0))+(IF(E40&gt;=20,1,0))+(IF(G40="No",1,0))+(IF(H40="Yes",1,0))+(IF(I40="Yes",1,0)))</f>
        <v/>
      </c>
      <c r="K40" s="7" t="str">
        <f aca="false">IF(A40="","",IF(J40&gt;=3,"MOVE TO PIPELINE","Keep looking"))</f>
        <v/>
      </c>
      <c r="L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10" t="str">
        <f aca="false">IF(A41="","",(IF(D41&gt;=4,1,0))+(IF(E41&gt;=20,1,0))+(IF(G41="No",1,0))+(IF(H41="Yes",1,0))+(IF(I41="Yes",1,0)))</f>
        <v/>
      </c>
      <c r="K41" s="7" t="str">
        <f aca="false">IF(A41="","",IF(J41&gt;=3,"MOVE TO PIPELINE","Keep looking"))</f>
        <v/>
      </c>
      <c r="L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10" t="str">
        <f aca="false">IF(A42="","",(IF(D42&gt;=4,1,0))+(IF(E42&gt;=20,1,0))+(IF(G42="No",1,0))+(IF(H42="Yes",1,0))+(IF(I42="Yes",1,0)))</f>
        <v/>
      </c>
      <c r="K42" s="7" t="str">
        <f aca="false">IF(A42="","",IF(J42&gt;=3,"MOVE TO PIPELINE","Keep looking"))</f>
        <v/>
      </c>
      <c r="L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10" t="str">
        <f aca="false">IF(A43="","",(IF(D43&gt;=4,1,0))+(IF(E43&gt;=20,1,0))+(IF(G43="No",1,0))+(IF(H43="Yes",1,0))+(IF(I43="Yes",1,0)))</f>
        <v/>
      </c>
      <c r="K43" s="7" t="str">
        <f aca="false">IF(A43="","",IF(J43&gt;=3,"MOVE TO PIPELINE","Keep looking"))</f>
        <v/>
      </c>
      <c r="L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10" t="str">
        <f aca="false">IF(A44="","",(IF(D44&gt;=4,1,0))+(IF(E44&gt;=20,1,0))+(IF(G44="No",1,0))+(IF(H44="Yes",1,0))+(IF(I44="Yes",1,0)))</f>
        <v/>
      </c>
      <c r="K44" s="7" t="str">
        <f aca="false">IF(A44="","",IF(J44&gt;=3,"MOVE TO PIPELINE","Keep looking"))</f>
        <v/>
      </c>
      <c r="L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10" t="str">
        <f aca="false">IF(A45="","",(IF(D45&gt;=4,1,0))+(IF(E45&gt;=20,1,0))+(IF(G45="No",1,0))+(IF(H45="Yes",1,0))+(IF(I45="Yes",1,0)))</f>
        <v/>
      </c>
      <c r="K45" s="7" t="str">
        <f aca="false">IF(A45="","",IF(J45&gt;=3,"MOVE TO PIPELINE","Keep looking"))</f>
        <v/>
      </c>
      <c r="L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10" t="str">
        <f aca="false">IF(A46="","",(IF(D46&gt;=4,1,0))+(IF(E46&gt;=20,1,0))+(IF(G46="No",1,0))+(IF(H46="Yes",1,0))+(IF(I46="Yes",1,0)))</f>
        <v/>
      </c>
      <c r="K46" s="7" t="str">
        <f aca="false">IF(A46="","",IF(J46&gt;=3,"MOVE TO PIPELINE","Keep looking"))</f>
        <v/>
      </c>
      <c r="L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10" t="str">
        <f aca="false">IF(A47="","",(IF(D47&gt;=4,1,0))+(IF(E47&gt;=20,1,0))+(IF(G47="No",1,0))+(IF(H47="Yes",1,0))+(IF(I47="Yes",1,0)))</f>
        <v/>
      </c>
      <c r="K47" s="7" t="str">
        <f aca="false">IF(A47="","",IF(J47&gt;=3,"MOVE TO PIPELINE","Keep looking"))</f>
        <v/>
      </c>
      <c r="L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10" t="str">
        <f aca="false">IF(A48="","",(IF(D48&gt;=4,1,0))+(IF(E48&gt;=20,1,0))+(IF(G48="No",1,0))+(IF(H48="Yes",1,0))+(IF(I48="Yes",1,0)))</f>
        <v/>
      </c>
      <c r="K48" s="7" t="str">
        <f aca="false">IF(A48="","",IF(J48&gt;=3,"MOVE TO PIPELINE","Keep looking"))</f>
        <v/>
      </c>
      <c r="L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10" t="str">
        <f aca="false">IF(A49="","",(IF(D49&gt;=4,1,0))+(IF(E49&gt;=20,1,0))+(IF(G49="No",1,0))+(IF(H49="Yes",1,0))+(IF(I49="Yes",1,0)))</f>
        <v/>
      </c>
      <c r="K49" s="7" t="str">
        <f aca="false">IF(A49="","",IF(J49&gt;=3,"MOVE TO PIPELINE","Keep looking"))</f>
        <v/>
      </c>
      <c r="L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10" t="str">
        <f aca="false">IF(A50="","",(IF(D50&gt;=4,1,0))+(IF(E50&gt;=20,1,0))+(IF(G50="No",1,0))+(IF(H50="Yes",1,0))+(IF(I50="Yes",1,0)))</f>
        <v/>
      </c>
      <c r="K50" s="7" t="str">
        <f aca="false">IF(A50="","",IF(J50&gt;=3,"MOVE TO PIPELINE","Keep looking"))</f>
        <v/>
      </c>
      <c r="L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10" t="str">
        <f aca="false">IF(A51="","",(IF(D51&gt;=4,1,0))+(IF(E51&gt;=20,1,0))+(IF(G51="No",1,0))+(IF(H51="Yes",1,0))+(IF(I51="Yes",1,0)))</f>
        <v/>
      </c>
      <c r="K51" s="7" t="str">
        <f aca="false">IF(A51="","",IF(J51&gt;=3,"MOVE TO PIPELINE","Keep looking"))</f>
        <v/>
      </c>
      <c r="L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10" t="str">
        <f aca="false">IF(A52="","",(IF(D52&gt;=4,1,0))+(IF(E52&gt;=20,1,0))+(IF(G52="No",1,0))+(IF(H52="Yes",1,0))+(IF(I52="Yes",1,0)))</f>
        <v/>
      </c>
      <c r="K52" s="7" t="str">
        <f aca="false">IF(A52="","",IF(J52&gt;=3,"MOVE TO PIPELINE","Keep looking"))</f>
        <v/>
      </c>
      <c r="L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10" t="str">
        <f aca="false">IF(A53="","",(IF(D53&gt;=4,1,0))+(IF(E53&gt;=20,1,0))+(IF(G53="No",1,0))+(IF(H53="Yes",1,0))+(IF(I53="Yes",1,0)))</f>
        <v/>
      </c>
      <c r="K53" s="7" t="str">
        <f aca="false">IF(A53="","",IF(J53&gt;=3,"MOVE TO PIPELINE","Keep looking"))</f>
        <v/>
      </c>
      <c r="L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10" t="str">
        <f aca="false">IF(A54="","",(IF(D54&gt;=4,1,0))+(IF(E54&gt;=20,1,0))+(IF(G54="No",1,0))+(IF(H54="Yes",1,0))+(IF(I54="Yes",1,0)))</f>
        <v/>
      </c>
      <c r="K54" s="7" t="str">
        <f aca="false">IF(A54="","",IF(J54&gt;=3,"MOVE TO PIPELINE","Keep looking"))</f>
        <v/>
      </c>
      <c r="L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10" t="str">
        <f aca="false">IF(A55="","",(IF(D55&gt;=4,1,0))+(IF(E55&gt;=20,1,0))+(IF(G55="No",1,0))+(IF(H55="Yes",1,0))+(IF(I55="Yes",1,0)))</f>
        <v/>
      </c>
      <c r="K55" s="7" t="str">
        <f aca="false">IF(A55="","",IF(J55&gt;=3,"MOVE TO PIPELINE","Keep looking"))</f>
        <v/>
      </c>
      <c r="L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10" t="str">
        <f aca="false">IF(A56="","",(IF(D56&gt;=4,1,0))+(IF(E56&gt;=20,1,0))+(IF(G56="No",1,0))+(IF(H56="Yes",1,0))+(IF(I56="Yes",1,0)))</f>
        <v/>
      </c>
      <c r="K56" s="7" t="str">
        <f aca="false">IF(A56="","",IF(J56&gt;=3,"MOVE TO PIPELINE","Keep looking"))</f>
        <v/>
      </c>
      <c r="L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10" t="str">
        <f aca="false">IF(A57="","",(IF(D57&gt;=4,1,0))+(IF(E57&gt;=20,1,0))+(IF(G57="No",1,0))+(IF(H57="Yes",1,0))+(IF(I57="Yes",1,0)))</f>
        <v/>
      </c>
      <c r="K57" s="7" t="str">
        <f aca="false">IF(A57="","",IF(J57&gt;=3,"MOVE TO PIPELINE","Keep looking"))</f>
        <v/>
      </c>
      <c r="L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10" t="str">
        <f aca="false">IF(A58="","",(IF(D58&gt;=4,1,0))+(IF(E58&gt;=20,1,0))+(IF(G58="No",1,0))+(IF(H58="Yes",1,0))+(IF(I58="Yes",1,0)))</f>
        <v/>
      </c>
      <c r="K58" s="7" t="str">
        <f aca="false">IF(A58="","",IF(J58&gt;=3,"MOVE TO PIPELINE","Keep looking"))</f>
        <v/>
      </c>
      <c r="L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10" t="str">
        <f aca="false">IF(A59="","",(IF(D59&gt;=4,1,0))+(IF(E59&gt;=20,1,0))+(IF(G59="No",1,0))+(IF(H59="Yes",1,0))+(IF(I59="Yes",1,0)))</f>
        <v/>
      </c>
      <c r="K59" s="7" t="str">
        <f aca="false">IF(A59="","",IF(J59&gt;=3,"MOVE TO PIPELINE","Keep looking"))</f>
        <v/>
      </c>
      <c r="L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10" t="str">
        <f aca="false">IF(A60="","",(IF(D60&gt;=4,1,0))+(IF(E60&gt;=20,1,0))+(IF(G60="No",1,0))+(IF(H60="Yes",1,0))+(IF(I60="Yes",1,0)))</f>
        <v/>
      </c>
      <c r="K60" s="7" t="str">
        <f aca="false">IF(A60="","",IF(J60&gt;=3,"MOVE TO PIPELINE","Keep looking"))</f>
        <v/>
      </c>
      <c r="L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10" t="str">
        <f aca="false">IF(A61="","",(IF(D61&gt;=4,1,0))+(IF(E61&gt;=20,1,0))+(IF(G61="No",1,0))+(IF(H61="Yes",1,0))+(IF(I61="Yes",1,0)))</f>
        <v/>
      </c>
      <c r="K61" s="7" t="str">
        <f aca="false">IF(A61="","",IF(J61&gt;=3,"MOVE TO PIPELINE","Keep looking"))</f>
        <v/>
      </c>
      <c r="L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10" t="str">
        <f aca="false">IF(A62="","",(IF(D62&gt;=4,1,0))+(IF(E62&gt;=20,1,0))+(IF(G62="No",1,0))+(IF(H62="Yes",1,0))+(IF(I62="Yes",1,0)))</f>
        <v/>
      </c>
      <c r="K62" s="7" t="str">
        <f aca="false">IF(A62="","",IF(J62&gt;=3,"MOVE TO PIPELINE","Keep looking"))</f>
        <v/>
      </c>
      <c r="L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10" t="str">
        <f aca="false">IF(A63="","",(IF(D63&gt;=4,1,0))+(IF(E63&gt;=20,1,0))+(IF(G63="No",1,0))+(IF(H63="Yes",1,0))+(IF(I63="Yes",1,0)))</f>
        <v/>
      </c>
      <c r="K63" s="7" t="str">
        <f aca="false">IF(A63="","",IF(J63&gt;=3,"MOVE TO PIPELINE","Keep looking"))</f>
        <v/>
      </c>
      <c r="L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10" t="str">
        <f aca="false">IF(A64="","",(IF(D64&gt;=4,1,0))+(IF(E64&gt;=20,1,0))+(IF(G64="No",1,0))+(IF(H64="Yes",1,0))+(IF(I64="Yes",1,0)))</f>
        <v/>
      </c>
      <c r="K64" s="7" t="str">
        <f aca="false">IF(A64="","",IF(J64&gt;=3,"MOVE TO PIPELINE","Keep looking"))</f>
        <v/>
      </c>
      <c r="L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10" t="str">
        <f aca="false">IF(A65="","",(IF(D65&gt;=4,1,0))+(IF(E65&gt;=20,1,0))+(IF(G65="No",1,0))+(IF(H65="Yes",1,0))+(IF(I65="Yes",1,0)))</f>
        <v/>
      </c>
      <c r="K65" s="7" t="str">
        <f aca="false">IF(A65="","",IF(J65&gt;=3,"MOVE TO PIPELINE","Keep looking"))</f>
        <v/>
      </c>
      <c r="L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10" t="str">
        <f aca="false">IF(A66="","",(IF(D66&gt;=4,1,0))+(IF(E66&gt;=20,1,0))+(IF(G66="No",1,0))+(IF(H66="Yes",1,0))+(IF(I66="Yes",1,0)))</f>
        <v/>
      </c>
      <c r="K66" s="7" t="str">
        <f aca="false">IF(A66="","",IF(J66&gt;=3,"MOVE TO PIPELINE","Keep looking"))</f>
        <v/>
      </c>
      <c r="L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10" t="str">
        <f aca="false">IF(A67="","",(IF(D67&gt;=4,1,0))+(IF(E67&gt;=20,1,0))+(IF(G67="No",1,0))+(IF(H67="Yes",1,0))+(IF(I67="Yes",1,0)))</f>
        <v/>
      </c>
      <c r="K67" s="7" t="str">
        <f aca="false">IF(A67="","",IF(J67&gt;=3,"MOVE TO PIPELINE","Keep looking"))</f>
        <v/>
      </c>
      <c r="L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10" t="str">
        <f aca="false">IF(A68="","",(IF(D68&gt;=4,1,0))+(IF(E68&gt;=20,1,0))+(IF(G68="No",1,0))+(IF(H68="Yes",1,0))+(IF(I68="Yes",1,0)))</f>
        <v/>
      </c>
      <c r="K68" s="7" t="str">
        <f aca="false">IF(A68="","",IF(J68&gt;=3,"MOVE TO PIPELINE","Keep looking"))</f>
        <v/>
      </c>
      <c r="L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10" t="str">
        <f aca="false">IF(A69="","",(IF(D69&gt;=4,1,0))+(IF(E69&gt;=20,1,0))+(IF(G69="No",1,0))+(IF(H69="Yes",1,0))+(IF(I69="Yes",1,0)))</f>
        <v/>
      </c>
      <c r="K69" s="7" t="str">
        <f aca="false">IF(A69="","",IF(J69&gt;=3,"MOVE TO PIPELINE","Keep looking"))</f>
        <v/>
      </c>
      <c r="L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10" t="str">
        <f aca="false">IF(A70="","",(IF(D70&gt;=4,1,0))+(IF(E70&gt;=20,1,0))+(IF(G70="No",1,0))+(IF(H70="Yes",1,0))+(IF(I70="Yes",1,0)))</f>
        <v/>
      </c>
      <c r="K70" s="7" t="str">
        <f aca="false">IF(A70="","",IF(J70&gt;=3,"MOVE TO PIPELINE","Keep looking"))</f>
        <v/>
      </c>
      <c r="L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10" t="str">
        <f aca="false">IF(A71="","",(IF(D71&gt;=4,1,0))+(IF(E71&gt;=20,1,0))+(IF(G71="No",1,0))+(IF(H71="Yes",1,0))+(IF(I71="Yes",1,0)))</f>
        <v/>
      </c>
      <c r="K71" s="7" t="str">
        <f aca="false">IF(A71="","",IF(J71&gt;=3,"MOVE TO PIPELINE","Keep looking"))</f>
        <v/>
      </c>
      <c r="L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10" t="str">
        <f aca="false">IF(A72="","",(IF(D72&gt;=4,1,0))+(IF(E72&gt;=20,1,0))+(IF(G72="No",1,0))+(IF(H72="Yes",1,0))+(IF(I72="Yes",1,0)))</f>
        <v/>
      </c>
      <c r="K72" s="7" t="str">
        <f aca="false">IF(A72="","",IF(J72&gt;=3,"MOVE TO PIPELINE","Keep looking"))</f>
        <v/>
      </c>
      <c r="L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10" t="str">
        <f aca="false">IF(A73="","",(IF(D73&gt;=4,1,0))+(IF(E73&gt;=20,1,0))+(IF(G73="No",1,0))+(IF(H73="Yes",1,0))+(IF(I73="Yes",1,0)))</f>
        <v/>
      </c>
      <c r="K73" s="7" t="str">
        <f aca="false">IF(A73="","",IF(J73&gt;=3,"MOVE TO PIPELINE","Keep looking"))</f>
        <v/>
      </c>
      <c r="L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10" t="str">
        <f aca="false">IF(A74="","",(IF(D74&gt;=4,1,0))+(IF(E74&gt;=20,1,0))+(IF(G74="No",1,0))+(IF(H74="Yes",1,0))+(IF(I74="Yes",1,0)))</f>
        <v/>
      </c>
      <c r="K74" s="7" t="str">
        <f aca="false">IF(A74="","",IF(J74&gt;=3,"MOVE TO PIPELINE","Keep looking"))</f>
        <v/>
      </c>
      <c r="L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10" t="str">
        <f aca="false">IF(A75="","",(IF(D75&gt;=4,1,0))+(IF(E75&gt;=20,1,0))+(IF(G75="No",1,0))+(IF(H75="Yes",1,0))+(IF(I75="Yes",1,0)))</f>
        <v/>
      </c>
      <c r="K75" s="7" t="str">
        <f aca="false">IF(A75="","",IF(J75&gt;=3,"MOVE TO PIPELINE","Keep looking"))</f>
        <v/>
      </c>
      <c r="L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10" t="str">
        <f aca="false">IF(A76="","",(IF(D76&gt;=4,1,0))+(IF(E76&gt;=20,1,0))+(IF(G76="No",1,0))+(IF(H76="Yes",1,0))+(IF(I76="Yes",1,0)))</f>
        <v/>
      </c>
      <c r="K76" s="7" t="str">
        <f aca="false">IF(A76="","",IF(J76&gt;=3,"MOVE TO PIPELINE","Keep looking"))</f>
        <v/>
      </c>
      <c r="L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10" t="str">
        <f aca="false">IF(A77="","",(IF(D77&gt;=4,1,0))+(IF(E77&gt;=20,1,0))+(IF(G77="No",1,0))+(IF(H77="Yes",1,0))+(IF(I77="Yes",1,0)))</f>
        <v/>
      </c>
      <c r="K77" s="7" t="str">
        <f aca="false">IF(A77="","",IF(J77&gt;=3,"MOVE TO PIPELINE","Keep looking"))</f>
        <v/>
      </c>
      <c r="L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10" t="str">
        <f aca="false">IF(A78="","",(IF(D78&gt;=4,1,0))+(IF(E78&gt;=20,1,0))+(IF(G78="No",1,0))+(IF(H78="Yes",1,0))+(IF(I78="Yes",1,0)))</f>
        <v/>
      </c>
      <c r="K78" s="7" t="str">
        <f aca="false">IF(A78="","",IF(J78&gt;=3,"MOVE TO PIPELINE","Keep looking"))</f>
        <v/>
      </c>
      <c r="L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10" t="str">
        <f aca="false">IF(A79="","",(IF(D79&gt;=4,1,0))+(IF(E79&gt;=20,1,0))+(IF(G79="No",1,0))+(IF(H79="Yes",1,0))+(IF(I79="Yes",1,0)))</f>
        <v/>
      </c>
      <c r="K79" s="7" t="str">
        <f aca="false">IF(A79="","",IF(J79&gt;=3,"MOVE TO PIPELINE","Keep looking"))</f>
        <v/>
      </c>
      <c r="L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10" t="str">
        <f aca="false">IF(A80="","",(IF(D80&gt;=4,1,0))+(IF(E80&gt;=20,1,0))+(IF(G80="No",1,0))+(IF(H80="Yes",1,0))+(IF(I80="Yes",1,0)))</f>
        <v/>
      </c>
      <c r="K80" s="7" t="str">
        <f aca="false">IF(A80="","",IF(J80&gt;=3,"MOVE TO PIPELINE","Keep looking"))</f>
        <v/>
      </c>
      <c r="L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10" t="str">
        <f aca="false">IF(A81="","",(IF(D81&gt;=4,1,0))+(IF(E81&gt;=20,1,0))+(IF(G81="No",1,0))+(IF(H81="Yes",1,0))+(IF(I81="Yes",1,0)))</f>
        <v/>
      </c>
      <c r="K81" s="7" t="str">
        <f aca="false">IF(A81="","",IF(J81&gt;=3,"MOVE TO PIPELINE","Keep looking"))</f>
        <v/>
      </c>
      <c r="L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10" t="str">
        <f aca="false">IF(A82="","",(IF(D82&gt;=4,1,0))+(IF(E82&gt;=20,1,0))+(IF(G82="No",1,0))+(IF(H82="Yes",1,0))+(IF(I82="Yes",1,0)))</f>
        <v/>
      </c>
      <c r="K82" s="7" t="str">
        <f aca="false">IF(A82="","",IF(J82&gt;=3,"MOVE TO PIPELINE","Keep looking"))</f>
        <v/>
      </c>
      <c r="L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10" t="str">
        <f aca="false">IF(A83="","",(IF(D83&gt;=4,1,0))+(IF(E83&gt;=20,1,0))+(IF(G83="No",1,0))+(IF(H83="Yes",1,0))+(IF(I83="Yes",1,0)))</f>
        <v/>
      </c>
      <c r="K83" s="7" t="str">
        <f aca="false">IF(A83="","",IF(J83&gt;=3,"MOVE TO PIPELINE","Keep looking"))</f>
        <v/>
      </c>
      <c r="L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10" t="str">
        <f aca="false">IF(A84="","",(IF(D84&gt;=4,1,0))+(IF(E84&gt;=20,1,0))+(IF(G84="No",1,0))+(IF(H84="Yes",1,0))+(IF(I84="Yes",1,0)))</f>
        <v/>
      </c>
      <c r="K84" s="7" t="str">
        <f aca="false">IF(A84="","",IF(J84&gt;=3,"MOVE TO PIPELINE","Keep looking"))</f>
        <v/>
      </c>
      <c r="L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10" t="str">
        <f aca="false">IF(A85="","",(IF(D85&gt;=4,1,0))+(IF(E85&gt;=20,1,0))+(IF(G85="No",1,0))+(IF(H85="Yes",1,0))+(IF(I85="Yes",1,0)))</f>
        <v/>
      </c>
      <c r="K85" s="7" t="str">
        <f aca="false">IF(A85="","",IF(J85&gt;=3,"MOVE TO PIPELINE","Keep looking"))</f>
        <v/>
      </c>
      <c r="L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10" t="str">
        <f aca="false">IF(A86="","",(IF(D86&gt;=4,1,0))+(IF(E86&gt;=20,1,0))+(IF(G86="No",1,0))+(IF(H86="Yes",1,0))+(IF(I86="Yes",1,0)))</f>
        <v/>
      </c>
      <c r="K86" s="7" t="str">
        <f aca="false">IF(A86="","",IF(J86&gt;=3,"MOVE TO PIPELINE","Keep looking"))</f>
        <v/>
      </c>
      <c r="L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10" t="str">
        <f aca="false">IF(A87="","",(IF(D87&gt;=4,1,0))+(IF(E87&gt;=20,1,0))+(IF(G87="No",1,0))+(IF(H87="Yes",1,0))+(IF(I87="Yes",1,0)))</f>
        <v/>
      </c>
      <c r="K87" s="7" t="str">
        <f aca="false">IF(A87="","",IF(J87&gt;=3,"MOVE TO PIPELINE","Keep looking"))</f>
        <v/>
      </c>
      <c r="L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10" t="str">
        <f aca="false">IF(A88="","",(IF(D88&gt;=4,1,0))+(IF(E88&gt;=20,1,0))+(IF(G88="No",1,0))+(IF(H88="Yes",1,0))+(IF(I88="Yes",1,0)))</f>
        <v/>
      </c>
      <c r="K88" s="7" t="str">
        <f aca="false">IF(A88="","",IF(J88&gt;=3,"MOVE TO PIPELINE","Keep looking"))</f>
        <v/>
      </c>
      <c r="L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10" t="str">
        <f aca="false">IF(A89="","",(IF(D89&gt;=4,1,0))+(IF(E89&gt;=20,1,0))+(IF(G89="No",1,0))+(IF(H89="Yes",1,0))+(IF(I89="Yes",1,0)))</f>
        <v/>
      </c>
      <c r="K89" s="7" t="str">
        <f aca="false">IF(A89="","",IF(J89&gt;=3,"MOVE TO PIPELINE","Keep looking"))</f>
        <v/>
      </c>
      <c r="L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10" t="str">
        <f aca="false">IF(A90="","",(IF(D90&gt;=4,1,0))+(IF(E90&gt;=20,1,0))+(IF(G90="No",1,0))+(IF(H90="Yes",1,0))+(IF(I90="Yes",1,0)))</f>
        <v/>
      </c>
      <c r="K90" s="7" t="str">
        <f aca="false">IF(A90="","",IF(J90&gt;=3,"MOVE TO PIPELINE","Keep looking"))</f>
        <v/>
      </c>
      <c r="L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10" t="str">
        <f aca="false">IF(A91="","",(IF(D91&gt;=4,1,0))+(IF(E91&gt;=20,1,0))+(IF(G91="No",1,0))+(IF(H91="Yes",1,0))+(IF(I91="Yes",1,0)))</f>
        <v/>
      </c>
      <c r="K91" s="7" t="str">
        <f aca="false">IF(A91="","",IF(J91&gt;=3,"MOVE TO PIPELINE","Keep looking"))</f>
        <v/>
      </c>
      <c r="L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10" t="str">
        <f aca="false">IF(A92="","",(IF(D92&gt;=4,1,0))+(IF(E92&gt;=20,1,0))+(IF(G92="No",1,0))+(IF(H92="Yes",1,0))+(IF(I92="Yes",1,0)))</f>
        <v/>
      </c>
      <c r="K92" s="7" t="str">
        <f aca="false">IF(A92="","",IF(J92&gt;=3,"MOVE TO PIPELINE","Keep looking"))</f>
        <v/>
      </c>
      <c r="L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10" t="str">
        <f aca="false">IF(A93="","",(IF(D93&gt;=4,1,0))+(IF(E93&gt;=20,1,0))+(IF(G93="No",1,0))+(IF(H93="Yes",1,0))+(IF(I93="Yes",1,0)))</f>
        <v/>
      </c>
      <c r="K93" s="7" t="str">
        <f aca="false">IF(A93="","",IF(J93&gt;=3,"MOVE TO PIPELINE","Keep looking"))</f>
        <v/>
      </c>
      <c r="L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10" t="str">
        <f aca="false">IF(A94="","",(IF(D94&gt;=4,1,0))+(IF(E94&gt;=20,1,0))+(IF(G94="No",1,0))+(IF(H94="Yes",1,0))+(IF(I94="Yes",1,0)))</f>
        <v/>
      </c>
      <c r="K94" s="7" t="str">
        <f aca="false">IF(A94="","",IF(J94&gt;=3,"MOVE TO PIPELINE","Keep looking"))</f>
        <v/>
      </c>
      <c r="L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10" t="str">
        <f aca="false">IF(A95="","",(IF(D95&gt;=4,1,0))+(IF(E95&gt;=20,1,0))+(IF(G95="No",1,0))+(IF(H95="Yes",1,0))+(IF(I95="Yes",1,0)))</f>
        <v/>
      </c>
      <c r="K95" s="7" t="str">
        <f aca="false">IF(A95="","",IF(J95&gt;=3,"MOVE TO PIPELINE","Keep looking"))</f>
        <v/>
      </c>
      <c r="L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10" t="str">
        <f aca="false">IF(A96="","",(IF(D96&gt;=4,1,0))+(IF(E96&gt;=20,1,0))+(IF(G96="No",1,0))+(IF(H96="Yes",1,0))+(IF(I96="Yes",1,0)))</f>
        <v/>
      </c>
      <c r="K96" s="7" t="str">
        <f aca="false">IF(A96="","",IF(J96&gt;=3,"MOVE TO PIPELINE","Keep looking"))</f>
        <v/>
      </c>
      <c r="L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10" t="str">
        <f aca="false">IF(A97="","",(IF(D97&gt;=4,1,0))+(IF(E97&gt;=20,1,0))+(IF(G97="No",1,0))+(IF(H97="Yes",1,0))+(IF(I97="Yes",1,0)))</f>
        <v/>
      </c>
      <c r="K97" s="7" t="str">
        <f aca="false">IF(A97="","",IF(J97&gt;=3,"MOVE TO PIPELINE","Keep looking"))</f>
        <v/>
      </c>
      <c r="L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10" t="str">
        <f aca="false">IF(A98="","",(IF(D98&gt;=4,1,0))+(IF(E98&gt;=20,1,0))+(IF(G98="No",1,0))+(IF(H98="Yes",1,0))+(IF(I98="Yes",1,0)))</f>
        <v/>
      </c>
      <c r="K98" s="7" t="str">
        <f aca="false">IF(A98="","",IF(J98&gt;=3,"MOVE TO PIPELINE","Keep looking"))</f>
        <v/>
      </c>
      <c r="L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10" t="str">
        <f aca="false">IF(A99="","",(IF(D99&gt;=4,1,0))+(IF(E99&gt;=20,1,0))+(IF(G99="No",1,0))+(IF(H99="Yes",1,0))+(IF(I99="Yes",1,0)))</f>
        <v/>
      </c>
      <c r="K99" s="7" t="str">
        <f aca="false">IF(A99="","",IF(J99&gt;=3,"MOVE TO PIPELINE","Keep looking"))</f>
        <v/>
      </c>
      <c r="L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10" t="str">
        <f aca="false">IF(A100="","",(IF(D100&gt;=4,1,0))+(IF(E100&gt;=20,1,0))+(IF(G100="No",1,0))+(IF(H100="Yes",1,0))+(IF(I100="Yes",1,0)))</f>
        <v/>
      </c>
      <c r="K100" s="7" t="str">
        <f aca="false">IF(A100="","",IF(J100&gt;=3,"MOVE TO PIPELINE","Keep looking"))</f>
        <v/>
      </c>
      <c r="L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10" t="str">
        <f aca="false">IF(A101="","",(IF(D101&gt;=4,1,0))+(IF(E101&gt;=20,1,0))+(IF(G101="No",1,0))+(IF(H101="Yes",1,0))+(IF(I101="Yes",1,0)))</f>
        <v/>
      </c>
      <c r="K101" s="7" t="str">
        <f aca="false">IF(A101="","",IF(J101&gt;=3,"MOVE TO PIPELINE","Keep looking"))</f>
        <v/>
      </c>
      <c r="L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10" t="str">
        <f aca="false">IF(A102="","",(IF(D102&gt;=4,1,0))+(IF(E102&gt;=20,1,0))+(IF(G102="No",1,0))+(IF(H102="Yes",1,0))+(IF(I102="Yes",1,0)))</f>
        <v/>
      </c>
      <c r="K102" s="7" t="str">
        <f aca="false">IF(A102="","",IF(J102&gt;=3,"MOVE TO PIPELINE","Keep looking"))</f>
        <v/>
      </c>
      <c r="L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10" t="str">
        <f aca="false">IF(A103="","",(IF(D103&gt;=4,1,0))+(IF(E103&gt;=20,1,0))+(IF(G103="No",1,0))+(IF(H103="Yes",1,0))+(IF(I103="Yes",1,0)))</f>
        <v/>
      </c>
      <c r="K103" s="7" t="str">
        <f aca="false">IF(A103="","",IF(J103&gt;=3,"MOVE TO PIPELINE","Keep looking"))</f>
        <v/>
      </c>
      <c r="L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10" t="str">
        <f aca="false">IF(A104="","",(IF(D104&gt;=4,1,0))+(IF(E104&gt;=20,1,0))+(IF(G104="No",1,0))+(IF(H104="Yes",1,0))+(IF(I104="Yes",1,0)))</f>
        <v/>
      </c>
      <c r="K104" s="7" t="str">
        <f aca="false">IF(A104="","",IF(J104&gt;=3,"MOVE TO PIPELINE","Keep looking"))</f>
        <v/>
      </c>
      <c r="L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10" t="str">
        <f aca="false">IF(A105="","",(IF(D105&gt;=4,1,0))+(IF(E105&gt;=20,1,0))+(IF(G105="No",1,0))+(IF(H105="Yes",1,0))+(IF(I105="Yes",1,0)))</f>
        <v/>
      </c>
      <c r="K105" s="7" t="str">
        <f aca="false">IF(A105="","",IF(J105&gt;=3,"MOVE TO PIPELINE","Keep looking"))</f>
        <v/>
      </c>
      <c r="L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10" t="str">
        <f aca="false">IF(A106="","",(IF(D106&gt;=4,1,0))+(IF(E106&gt;=20,1,0))+(IF(G106="No",1,0))+(IF(H106="Yes",1,0))+(IF(I106="Yes",1,0)))</f>
        <v/>
      </c>
      <c r="K106" s="7" t="str">
        <f aca="false">IF(A106="","",IF(J106&gt;=3,"MOVE TO PIPELINE","Keep looking"))</f>
        <v/>
      </c>
      <c r="L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10" t="str">
        <f aca="false">IF(A107="","",(IF(D107&gt;=4,1,0))+(IF(E107&gt;=20,1,0))+(IF(G107="No",1,0))+(IF(H107="Yes",1,0))+(IF(I107="Yes",1,0)))</f>
        <v/>
      </c>
      <c r="K107" s="7" t="str">
        <f aca="false">IF(A107="","",IF(J107&gt;=3,"MOVE TO PIPELINE","Keep looking"))</f>
        <v/>
      </c>
      <c r="L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10" t="str">
        <f aca="false">IF(A108="","",(IF(D108&gt;=4,1,0))+(IF(E108&gt;=20,1,0))+(IF(G108="No",1,0))+(IF(H108="Yes",1,0))+(IF(I108="Yes",1,0)))</f>
        <v/>
      </c>
      <c r="K108" s="7" t="str">
        <f aca="false">IF(A108="","",IF(J108&gt;=3,"MOVE TO PIPELINE","Keep looking"))</f>
        <v/>
      </c>
      <c r="L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10" t="str">
        <f aca="false">IF(A109="","",(IF(D109&gt;=4,1,0))+(IF(E109&gt;=20,1,0))+(IF(G109="No",1,0))+(IF(H109="Yes",1,0))+(IF(I109="Yes",1,0)))</f>
        <v/>
      </c>
      <c r="K109" s="7" t="str">
        <f aca="false">IF(A109="","",IF(J109&gt;=3,"MOVE TO PIPELINE","Keep looking"))</f>
        <v/>
      </c>
      <c r="L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10" t="str">
        <f aca="false">IF(A110="","",(IF(D110&gt;=4,1,0))+(IF(E110&gt;=20,1,0))+(IF(G110="No",1,0))+(IF(H110="Yes",1,0))+(IF(I110="Yes",1,0)))</f>
        <v/>
      </c>
      <c r="K110" s="7" t="str">
        <f aca="false">IF(A110="","",IF(J110&gt;=3,"MOVE TO PIPELINE","Keep looking"))</f>
        <v/>
      </c>
      <c r="L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10" t="str">
        <f aca="false">IF(A111="","",(IF(D111&gt;=4,1,0))+(IF(E111&gt;=20,1,0))+(IF(G111="No",1,0))+(IF(H111="Yes",1,0))+(IF(I111="Yes",1,0)))</f>
        <v/>
      </c>
      <c r="K111" s="7" t="str">
        <f aca="false">IF(A111="","",IF(J111&gt;=3,"MOVE TO PIPELINE","Keep looking"))</f>
        <v/>
      </c>
      <c r="L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10" t="str">
        <f aca="false">IF(A112="","",(IF(D112&gt;=4,1,0))+(IF(E112&gt;=20,1,0))+(IF(G112="No",1,0))+(IF(H112="Yes",1,0))+(IF(I112="Yes",1,0)))</f>
        <v/>
      </c>
      <c r="K112" s="7" t="str">
        <f aca="false">IF(A112="","",IF(J112&gt;=3,"MOVE TO PIPELINE","Keep looking"))</f>
        <v/>
      </c>
      <c r="L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10" t="str">
        <f aca="false">IF(A113="","",(IF(D113&gt;=4,1,0))+(IF(E113&gt;=20,1,0))+(IF(G113="No",1,0))+(IF(H113="Yes",1,0))+(IF(I113="Yes",1,0)))</f>
        <v/>
      </c>
      <c r="K113" s="7" t="str">
        <f aca="false">IF(A113="","",IF(J113&gt;=3,"MOVE TO PIPELINE","Keep looking"))</f>
        <v/>
      </c>
      <c r="L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10" t="str">
        <f aca="false">IF(A114="","",(IF(D114&gt;=4,1,0))+(IF(E114&gt;=20,1,0))+(IF(G114="No",1,0))+(IF(H114="Yes",1,0))+(IF(I114="Yes",1,0)))</f>
        <v/>
      </c>
      <c r="K114" s="7" t="str">
        <f aca="false">IF(A114="","",IF(J114&gt;=3,"MOVE TO PIPELINE","Keep looking"))</f>
        <v/>
      </c>
      <c r="L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10" t="str">
        <f aca="false">IF(A115="","",(IF(D115&gt;=4,1,0))+(IF(E115&gt;=20,1,0))+(IF(G115="No",1,0))+(IF(H115="Yes",1,0))+(IF(I115="Yes",1,0)))</f>
        <v/>
      </c>
      <c r="K115" s="7" t="str">
        <f aca="false">IF(A115="","",IF(J115&gt;=3,"MOVE TO PIPELINE","Keep looking"))</f>
        <v/>
      </c>
      <c r="L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10" t="str">
        <f aca="false">IF(A116="","",(IF(D116&gt;=4,1,0))+(IF(E116&gt;=20,1,0))+(IF(G116="No",1,0))+(IF(H116="Yes",1,0))+(IF(I116="Yes",1,0)))</f>
        <v/>
      </c>
      <c r="K116" s="7" t="str">
        <f aca="false">IF(A116="","",IF(J116&gt;=3,"MOVE TO PIPELINE","Keep looking"))</f>
        <v/>
      </c>
      <c r="L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10" t="str">
        <f aca="false">IF(A117="","",(IF(D117&gt;=4,1,0))+(IF(E117&gt;=20,1,0))+(IF(G117="No",1,0))+(IF(H117="Yes",1,0))+(IF(I117="Yes",1,0)))</f>
        <v/>
      </c>
      <c r="K117" s="7" t="str">
        <f aca="false">IF(A117="","",IF(J117&gt;=3,"MOVE TO PIPELINE","Keep looking"))</f>
        <v/>
      </c>
      <c r="L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10" t="str">
        <f aca="false">IF(A118="","",(IF(D118&gt;=4,1,0))+(IF(E118&gt;=20,1,0))+(IF(G118="No",1,0))+(IF(H118="Yes",1,0))+(IF(I118="Yes",1,0)))</f>
        <v/>
      </c>
      <c r="K118" s="7" t="str">
        <f aca="false">IF(A118="","",IF(J118&gt;=3,"MOVE TO PIPELINE","Keep looking"))</f>
        <v/>
      </c>
      <c r="L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10" t="str">
        <f aca="false">IF(A119="","",(IF(D119&gt;=4,1,0))+(IF(E119&gt;=20,1,0))+(IF(G119="No",1,0))+(IF(H119="Yes",1,0))+(IF(I119="Yes",1,0)))</f>
        <v/>
      </c>
      <c r="K119" s="7" t="str">
        <f aca="false">IF(A119="","",IF(J119&gt;=3,"MOVE TO PIPELINE","Keep looking"))</f>
        <v/>
      </c>
      <c r="L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10" t="str">
        <f aca="false">IF(A120="","",(IF(D120&gt;=4,1,0))+(IF(E120&gt;=20,1,0))+(IF(G120="No",1,0))+(IF(H120="Yes",1,0))+(IF(I120="Yes",1,0)))</f>
        <v/>
      </c>
      <c r="K120" s="7" t="str">
        <f aca="false">IF(A120="","",IF(J120&gt;=3,"MOVE TO PIPELINE","Keep looking"))</f>
        <v/>
      </c>
      <c r="L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10" t="str">
        <f aca="false">IF(A121="","",(IF(D121&gt;=4,1,0))+(IF(E121&gt;=20,1,0))+(IF(G121="No",1,0))+(IF(H121="Yes",1,0))+(IF(I121="Yes",1,0)))</f>
        <v/>
      </c>
      <c r="K121" s="7" t="str">
        <f aca="false">IF(A121="","",IF(J121&gt;=3,"MOVE TO PIPELINE","Keep looking"))</f>
        <v/>
      </c>
      <c r="L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10" t="str">
        <f aca="false">IF(A122="","",(IF(D122&gt;=4,1,0))+(IF(E122&gt;=20,1,0))+(IF(G122="No",1,0))+(IF(H122="Yes",1,0))+(IF(I122="Yes",1,0)))</f>
        <v/>
      </c>
      <c r="K122" s="7" t="str">
        <f aca="false">IF(A122="","",IF(J122&gt;=3,"MOVE TO PIPELINE","Keep looking"))</f>
        <v/>
      </c>
      <c r="L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10" t="str">
        <f aca="false">IF(A123="","",(IF(D123&gt;=4,1,0))+(IF(E123&gt;=20,1,0))+(IF(G123="No",1,0))+(IF(H123="Yes",1,0))+(IF(I123="Yes",1,0)))</f>
        <v/>
      </c>
      <c r="K123" s="7" t="str">
        <f aca="false">IF(A123="","",IF(J123&gt;=3,"MOVE TO PIPELINE","Keep looking"))</f>
        <v/>
      </c>
      <c r="L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10" t="str">
        <f aca="false">IF(A124="","",(IF(D124&gt;=4,1,0))+(IF(E124&gt;=20,1,0))+(IF(G124="No",1,0))+(IF(H124="Yes",1,0))+(IF(I124="Yes",1,0)))</f>
        <v/>
      </c>
      <c r="K124" s="7" t="str">
        <f aca="false">IF(A124="","",IF(J124&gt;=3,"MOVE TO PIPELINE","Keep looking"))</f>
        <v/>
      </c>
      <c r="L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10" t="str">
        <f aca="false">IF(A125="","",(IF(D125&gt;=4,1,0))+(IF(E125&gt;=20,1,0))+(IF(G125="No",1,0))+(IF(H125="Yes",1,0))+(IF(I125="Yes",1,0)))</f>
        <v/>
      </c>
      <c r="K125" s="7" t="str">
        <f aca="false">IF(A125="","",IF(J125&gt;=3,"MOVE TO PIPELINE","Keep looking"))</f>
        <v/>
      </c>
      <c r="L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10" t="str">
        <f aca="false">IF(A126="","",(IF(D126&gt;=4,1,0))+(IF(E126&gt;=20,1,0))+(IF(G126="No",1,0))+(IF(H126="Yes",1,0))+(IF(I126="Yes",1,0)))</f>
        <v/>
      </c>
      <c r="K126" s="7" t="str">
        <f aca="false">IF(A126="","",IF(J126&gt;=3,"MOVE TO PIPELINE","Keep looking"))</f>
        <v/>
      </c>
      <c r="L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10" t="str">
        <f aca="false">IF(A127="","",(IF(D127&gt;=4,1,0))+(IF(E127&gt;=20,1,0))+(IF(G127="No",1,0))+(IF(H127="Yes",1,0))+(IF(I127="Yes",1,0)))</f>
        <v/>
      </c>
      <c r="K127" s="7" t="str">
        <f aca="false">IF(A127="","",IF(J127&gt;=3,"MOVE TO PIPELINE","Keep looking"))</f>
        <v/>
      </c>
      <c r="L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10" t="str">
        <f aca="false">IF(A128="","",(IF(D128&gt;=4,1,0))+(IF(E128&gt;=20,1,0))+(IF(G128="No",1,0))+(IF(H128="Yes",1,0))+(IF(I128="Yes",1,0)))</f>
        <v/>
      </c>
      <c r="K128" s="7" t="str">
        <f aca="false">IF(A128="","",IF(J128&gt;=3,"MOVE TO PIPELINE","Keep looking"))</f>
        <v/>
      </c>
      <c r="L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10" t="str">
        <f aca="false">IF(A129="","",(IF(D129&gt;=4,1,0))+(IF(E129&gt;=20,1,0))+(IF(G129="No",1,0))+(IF(H129="Yes",1,0))+(IF(I129="Yes",1,0)))</f>
        <v/>
      </c>
      <c r="K129" s="7" t="str">
        <f aca="false">IF(A129="","",IF(J129&gt;=3,"MOVE TO PIPELINE","Keep looking"))</f>
        <v/>
      </c>
      <c r="L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10" t="str">
        <f aca="false">IF(A130="","",(IF(D130&gt;=4,1,0))+(IF(E130&gt;=20,1,0))+(IF(G130="No",1,0))+(IF(H130="Yes",1,0))+(IF(I130="Yes",1,0)))</f>
        <v/>
      </c>
      <c r="K130" s="7" t="str">
        <f aca="false">IF(A130="","",IF(J130&gt;=3,"MOVE TO PIPELINE","Keep looking"))</f>
        <v/>
      </c>
      <c r="L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10" t="str">
        <f aca="false">IF(A131="","",(IF(D131&gt;=4,1,0))+(IF(E131&gt;=20,1,0))+(IF(G131="No",1,0))+(IF(H131="Yes",1,0))+(IF(I131="Yes",1,0)))</f>
        <v/>
      </c>
      <c r="K131" s="7" t="str">
        <f aca="false">IF(A131="","",IF(J131&gt;=3,"MOVE TO PIPELINE","Keep looking"))</f>
        <v/>
      </c>
      <c r="L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10" t="str">
        <f aca="false">IF(A132="","",(IF(D132&gt;=4,1,0))+(IF(E132&gt;=20,1,0))+(IF(G132="No",1,0))+(IF(H132="Yes",1,0))+(IF(I132="Yes",1,0)))</f>
        <v/>
      </c>
      <c r="K132" s="7" t="str">
        <f aca="false">IF(A132="","",IF(J132&gt;=3,"MOVE TO PIPELINE","Keep looking"))</f>
        <v/>
      </c>
      <c r="L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10" t="str">
        <f aca="false">IF(A133="","",(IF(D133&gt;=4,1,0))+(IF(E133&gt;=20,1,0))+(IF(G133="No",1,0))+(IF(H133="Yes",1,0))+(IF(I133="Yes",1,0)))</f>
        <v/>
      </c>
      <c r="K133" s="7" t="str">
        <f aca="false">IF(A133="","",IF(J133&gt;=3,"MOVE TO PIPELINE","Keep looking"))</f>
        <v/>
      </c>
      <c r="L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10" t="str">
        <f aca="false">IF(A134="","",(IF(D134&gt;=4,1,0))+(IF(E134&gt;=20,1,0))+(IF(G134="No",1,0))+(IF(H134="Yes",1,0))+(IF(I134="Yes",1,0)))</f>
        <v/>
      </c>
      <c r="K134" s="7" t="str">
        <f aca="false">IF(A134="","",IF(J134&gt;=3,"MOVE TO PIPELINE","Keep looking"))</f>
        <v/>
      </c>
      <c r="L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10" t="str">
        <f aca="false">IF(A135="","",(IF(D135&gt;=4,1,0))+(IF(E135&gt;=20,1,0))+(IF(G135="No",1,0))+(IF(H135="Yes",1,0))+(IF(I135="Yes",1,0)))</f>
        <v/>
      </c>
      <c r="K135" s="7" t="str">
        <f aca="false">IF(A135="","",IF(J135&gt;=3,"MOVE TO PIPELINE","Keep looking"))</f>
        <v/>
      </c>
      <c r="L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10" t="str">
        <f aca="false">IF(A136="","",(IF(D136&gt;=4,1,0))+(IF(E136&gt;=20,1,0))+(IF(G136="No",1,0))+(IF(H136="Yes",1,0))+(IF(I136="Yes",1,0)))</f>
        <v/>
      </c>
      <c r="K136" s="7" t="str">
        <f aca="false">IF(A136="","",IF(J136&gt;=3,"MOVE TO PIPELINE","Keep looking"))</f>
        <v/>
      </c>
      <c r="L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10" t="str">
        <f aca="false">IF(A137="","",(IF(D137&gt;=4,1,0))+(IF(E137&gt;=20,1,0))+(IF(G137="No",1,0))+(IF(H137="Yes",1,0))+(IF(I137="Yes",1,0)))</f>
        <v/>
      </c>
      <c r="K137" s="7" t="str">
        <f aca="false">IF(A137="","",IF(J137&gt;=3,"MOVE TO PIPELINE","Keep looking"))</f>
        <v/>
      </c>
      <c r="L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10" t="str">
        <f aca="false">IF(A138="","",(IF(D138&gt;=4,1,0))+(IF(E138&gt;=20,1,0))+(IF(G138="No",1,0))+(IF(H138="Yes",1,0))+(IF(I138="Yes",1,0)))</f>
        <v/>
      </c>
      <c r="K138" s="7" t="str">
        <f aca="false">IF(A138="","",IF(J138&gt;=3,"MOVE TO PIPELINE","Keep looking"))</f>
        <v/>
      </c>
      <c r="L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10" t="str">
        <f aca="false">IF(A139="","",(IF(D139&gt;=4,1,0))+(IF(E139&gt;=20,1,0))+(IF(G139="No",1,0))+(IF(H139="Yes",1,0))+(IF(I139="Yes",1,0)))</f>
        <v/>
      </c>
      <c r="K139" s="7" t="str">
        <f aca="false">IF(A139="","",IF(J139&gt;=3,"MOVE TO PIPELINE","Keep looking"))</f>
        <v/>
      </c>
      <c r="L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10" t="str">
        <f aca="false">IF(A140="","",(IF(D140&gt;=4,1,0))+(IF(E140&gt;=20,1,0))+(IF(G140="No",1,0))+(IF(H140="Yes",1,0))+(IF(I140="Yes",1,0)))</f>
        <v/>
      </c>
      <c r="K140" s="7" t="str">
        <f aca="false">IF(A140="","",IF(J140&gt;=3,"MOVE TO PIPELINE","Keep looking"))</f>
        <v/>
      </c>
      <c r="L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10" t="str">
        <f aca="false">IF(A141="","",(IF(D141&gt;=4,1,0))+(IF(E141&gt;=20,1,0))+(IF(G141="No",1,0))+(IF(H141="Yes",1,0))+(IF(I141="Yes",1,0)))</f>
        <v/>
      </c>
      <c r="K141" s="7" t="str">
        <f aca="false">IF(A141="","",IF(J141&gt;=3,"MOVE TO PIPELINE","Keep looking"))</f>
        <v/>
      </c>
      <c r="L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10" t="str">
        <f aca="false">IF(A142="","",(IF(D142&gt;=4,1,0))+(IF(E142&gt;=20,1,0))+(IF(G142="No",1,0))+(IF(H142="Yes",1,0))+(IF(I142="Yes",1,0)))</f>
        <v/>
      </c>
      <c r="K142" s="7" t="str">
        <f aca="false">IF(A142="","",IF(J142&gt;=3,"MOVE TO PIPELINE","Keep looking"))</f>
        <v/>
      </c>
      <c r="L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10" t="str">
        <f aca="false">IF(A143="","",(IF(D143&gt;=4,1,0))+(IF(E143&gt;=20,1,0))+(IF(G143="No",1,0))+(IF(H143="Yes",1,0))+(IF(I143="Yes",1,0)))</f>
        <v/>
      </c>
      <c r="K143" s="7" t="str">
        <f aca="false">IF(A143="","",IF(J143&gt;=3,"MOVE TO PIPELINE","Keep looking"))</f>
        <v/>
      </c>
      <c r="L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10" t="str">
        <f aca="false">IF(A144="","",(IF(D144&gt;=4,1,0))+(IF(E144&gt;=20,1,0))+(IF(G144="No",1,0))+(IF(H144="Yes",1,0))+(IF(I144="Yes",1,0)))</f>
        <v/>
      </c>
      <c r="K144" s="7" t="str">
        <f aca="false">IF(A144="","",IF(J144&gt;=3,"MOVE TO PIPELINE","Keep looking"))</f>
        <v/>
      </c>
      <c r="L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10" t="str">
        <f aca="false">IF(A145="","",(IF(D145&gt;=4,1,0))+(IF(E145&gt;=20,1,0))+(IF(G145="No",1,0))+(IF(H145="Yes",1,0))+(IF(I145="Yes",1,0)))</f>
        <v/>
      </c>
      <c r="K145" s="7" t="str">
        <f aca="false">IF(A145="","",IF(J145&gt;=3,"MOVE TO PIPELINE","Keep looking"))</f>
        <v/>
      </c>
      <c r="L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10" t="str">
        <f aca="false">IF(A146="","",(IF(D146&gt;=4,1,0))+(IF(E146&gt;=20,1,0))+(IF(G146="No",1,0))+(IF(H146="Yes",1,0))+(IF(I146="Yes",1,0)))</f>
        <v/>
      </c>
      <c r="K146" s="7" t="str">
        <f aca="false">IF(A146="","",IF(J146&gt;=3,"MOVE TO PIPELINE","Keep looking"))</f>
        <v/>
      </c>
      <c r="L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10" t="str">
        <f aca="false">IF(A147="","",(IF(D147&gt;=4,1,0))+(IF(E147&gt;=20,1,0))+(IF(G147="No",1,0))+(IF(H147="Yes",1,0))+(IF(I147="Yes",1,0)))</f>
        <v/>
      </c>
      <c r="K147" s="7" t="str">
        <f aca="false">IF(A147="","",IF(J147&gt;=3,"MOVE TO PIPELINE","Keep looking"))</f>
        <v/>
      </c>
      <c r="L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10" t="str">
        <f aca="false">IF(A148="","",(IF(D148&gt;=4,1,0))+(IF(E148&gt;=20,1,0))+(IF(G148="No",1,0))+(IF(H148="Yes",1,0))+(IF(I148="Yes",1,0)))</f>
        <v/>
      </c>
      <c r="K148" s="7" t="str">
        <f aca="false">IF(A148="","",IF(J148&gt;=3,"MOVE TO PIPELINE","Keep looking"))</f>
        <v/>
      </c>
      <c r="L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10" t="str">
        <f aca="false">IF(A149="","",(IF(D149&gt;=4,1,0))+(IF(E149&gt;=20,1,0))+(IF(G149="No",1,0))+(IF(H149="Yes",1,0))+(IF(I149="Yes",1,0)))</f>
        <v/>
      </c>
      <c r="K149" s="7" t="str">
        <f aca="false">IF(A149="","",IF(J149&gt;=3,"MOVE TO PIPELINE","Keep looking"))</f>
        <v/>
      </c>
      <c r="L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10" t="str">
        <f aca="false">IF(A150="","",(IF(D150&gt;=4,1,0))+(IF(E150&gt;=20,1,0))+(IF(G150="No",1,0))+(IF(H150="Yes",1,0))+(IF(I150="Yes",1,0)))</f>
        <v/>
      </c>
      <c r="K150" s="7" t="str">
        <f aca="false">IF(A150="","",IF(J150&gt;=3,"MOVE TO PIPELINE","Keep looking"))</f>
        <v/>
      </c>
      <c r="L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10" t="str">
        <f aca="false">IF(A151="","",(IF(D151&gt;=4,1,0))+(IF(E151&gt;=20,1,0))+(IF(G151="No",1,0))+(IF(H151="Yes",1,0))+(IF(I151="Yes",1,0)))</f>
        <v/>
      </c>
      <c r="K151" s="7" t="str">
        <f aca="false">IF(A151="","",IF(J151&gt;=3,"MOVE TO PIPELINE","Keep looking"))</f>
        <v/>
      </c>
      <c r="L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10" t="str">
        <f aca="false">IF(A152="","",(IF(D152&gt;=4,1,0))+(IF(E152&gt;=20,1,0))+(IF(G152="No",1,0))+(IF(H152="Yes",1,0))+(IF(I152="Yes",1,0)))</f>
        <v/>
      </c>
      <c r="K152" s="7" t="str">
        <f aca="false">IF(A152="","",IF(J152&gt;=3,"MOVE TO PIPELINE","Keep looking"))</f>
        <v/>
      </c>
      <c r="L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10" t="str">
        <f aca="false">IF(A153="","",(IF(D153&gt;=4,1,0))+(IF(E153&gt;=20,1,0))+(IF(G153="No",1,0))+(IF(H153="Yes",1,0))+(IF(I153="Yes",1,0)))</f>
        <v/>
      </c>
      <c r="K153" s="7" t="str">
        <f aca="false">IF(A153="","",IF(J153&gt;=3,"MOVE TO PIPELINE","Keep looking"))</f>
        <v/>
      </c>
      <c r="L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10" t="str">
        <f aca="false">IF(A154="","",(IF(D154&gt;=4,1,0))+(IF(E154&gt;=20,1,0))+(IF(G154="No",1,0))+(IF(H154="Yes",1,0))+(IF(I154="Yes",1,0)))</f>
        <v/>
      </c>
      <c r="K154" s="7" t="str">
        <f aca="false">IF(A154="","",IF(J154&gt;=3,"MOVE TO PIPELINE","Keep looking"))</f>
        <v/>
      </c>
      <c r="L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10" t="str">
        <f aca="false">IF(A155="","",(IF(D155&gt;=4,1,0))+(IF(E155&gt;=20,1,0))+(IF(G155="No",1,0))+(IF(H155="Yes",1,0))+(IF(I155="Yes",1,0)))</f>
        <v/>
      </c>
      <c r="K155" s="7" t="str">
        <f aca="false">IF(A155="","",IF(J155&gt;=3,"MOVE TO PIPELINE","Keep looking"))</f>
        <v/>
      </c>
      <c r="L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10" t="str">
        <f aca="false">IF(A156="","",(IF(D156&gt;=4,1,0))+(IF(E156&gt;=20,1,0))+(IF(G156="No",1,0))+(IF(H156="Yes",1,0))+(IF(I156="Yes",1,0)))</f>
        <v/>
      </c>
      <c r="K156" s="7" t="str">
        <f aca="false">IF(A156="","",IF(J156&gt;=3,"MOVE TO PIPELINE","Keep looking"))</f>
        <v/>
      </c>
      <c r="L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10" t="str">
        <f aca="false">IF(A157="","",(IF(D157&gt;=4,1,0))+(IF(E157&gt;=20,1,0))+(IF(G157="No",1,0))+(IF(H157="Yes",1,0))+(IF(I157="Yes",1,0)))</f>
        <v/>
      </c>
      <c r="K157" s="7" t="str">
        <f aca="false">IF(A157="","",IF(J157&gt;=3,"MOVE TO PIPELINE","Keep looking"))</f>
        <v/>
      </c>
      <c r="L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10" t="str">
        <f aca="false">IF(A158="","",(IF(D158&gt;=4,1,0))+(IF(E158&gt;=20,1,0))+(IF(G158="No",1,0))+(IF(H158="Yes",1,0))+(IF(I158="Yes",1,0)))</f>
        <v/>
      </c>
      <c r="K158" s="7" t="str">
        <f aca="false">IF(A158="","",IF(J158&gt;=3,"MOVE TO PIPELINE","Keep looking"))</f>
        <v/>
      </c>
      <c r="L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10" t="str">
        <f aca="false">IF(A159="","",(IF(D159&gt;=4,1,0))+(IF(E159&gt;=20,1,0))+(IF(G159="No",1,0))+(IF(H159="Yes",1,0))+(IF(I159="Yes",1,0)))</f>
        <v/>
      </c>
      <c r="K159" s="7" t="str">
        <f aca="false">IF(A159="","",IF(J159&gt;=3,"MOVE TO PIPELINE","Keep looking"))</f>
        <v/>
      </c>
      <c r="L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10" t="str">
        <f aca="false">IF(A160="","",(IF(D160&gt;=4,1,0))+(IF(E160&gt;=20,1,0))+(IF(G160="No",1,0))+(IF(H160="Yes",1,0))+(IF(I160="Yes",1,0)))</f>
        <v/>
      </c>
      <c r="K160" s="7" t="str">
        <f aca="false">IF(A160="","",IF(J160&gt;=3,"MOVE TO PIPELINE","Keep looking"))</f>
        <v/>
      </c>
      <c r="L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10" t="str">
        <f aca="false">IF(A161="","",(IF(D161&gt;=4,1,0))+(IF(E161&gt;=20,1,0))+(IF(G161="No",1,0))+(IF(H161="Yes",1,0))+(IF(I161="Yes",1,0)))</f>
        <v/>
      </c>
      <c r="K161" s="7" t="str">
        <f aca="false">IF(A161="","",IF(J161&gt;=3,"MOVE TO PIPELINE","Keep looking"))</f>
        <v/>
      </c>
      <c r="L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10" t="str">
        <f aca="false">IF(A162="","",(IF(D162&gt;=4,1,0))+(IF(E162&gt;=20,1,0))+(IF(G162="No",1,0))+(IF(H162="Yes",1,0))+(IF(I162="Yes",1,0)))</f>
        <v/>
      </c>
      <c r="K162" s="7" t="str">
        <f aca="false">IF(A162="","",IF(J162&gt;=3,"MOVE TO PIPELINE","Keep looking"))</f>
        <v/>
      </c>
      <c r="L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10" t="str">
        <f aca="false">IF(A163="","",(IF(D163&gt;=4,1,0))+(IF(E163&gt;=20,1,0))+(IF(G163="No",1,0))+(IF(H163="Yes",1,0))+(IF(I163="Yes",1,0)))</f>
        <v/>
      </c>
      <c r="K163" s="7" t="str">
        <f aca="false">IF(A163="","",IF(J163&gt;=3,"MOVE TO PIPELINE","Keep looking"))</f>
        <v/>
      </c>
      <c r="L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10" t="str">
        <f aca="false">IF(A164="","",(IF(D164&gt;=4,1,0))+(IF(E164&gt;=20,1,0))+(IF(G164="No",1,0))+(IF(H164="Yes",1,0))+(IF(I164="Yes",1,0)))</f>
        <v/>
      </c>
      <c r="K164" s="7" t="str">
        <f aca="false">IF(A164="","",IF(J164&gt;=3,"MOVE TO PIPELINE","Keep looking"))</f>
        <v/>
      </c>
      <c r="L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10" t="str">
        <f aca="false">IF(A165="","",(IF(D165&gt;=4,1,0))+(IF(E165&gt;=20,1,0))+(IF(G165="No",1,0))+(IF(H165="Yes",1,0))+(IF(I165="Yes",1,0)))</f>
        <v/>
      </c>
      <c r="K165" s="7" t="str">
        <f aca="false">IF(A165="","",IF(J165&gt;=3,"MOVE TO PIPELINE","Keep looking"))</f>
        <v/>
      </c>
      <c r="L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10" t="str">
        <f aca="false">IF(A166="","",(IF(D166&gt;=4,1,0))+(IF(E166&gt;=20,1,0))+(IF(G166="No",1,0))+(IF(H166="Yes",1,0))+(IF(I166="Yes",1,0)))</f>
        <v/>
      </c>
      <c r="K166" s="7" t="str">
        <f aca="false">IF(A166="","",IF(J166&gt;=3,"MOVE TO PIPELINE","Keep looking"))</f>
        <v/>
      </c>
      <c r="L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10" t="str">
        <f aca="false">IF(A167="","",(IF(D167&gt;=4,1,0))+(IF(E167&gt;=20,1,0))+(IF(G167="No",1,0))+(IF(H167="Yes",1,0))+(IF(I167="Yes",1,0)))</f>
        <v/>
      </c>
      <c r="K167" s="7" t="str">
        <f aca="false">IF(A167="","",IF(J167&gt;=3,"MOVE TO PIPELINE","Keep looking"))</f>
        <v/>
      </c>
      <c r="L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10" t="str">
        <f aca="false">IF(A168="","",(IF(D168&gt;=4,1,0))+(IF(E168&gt;=20,1,0))+(IF(G168="No",1,0))+(IF(H168="Yes",1,0))+(IF(I168="Yes",1,0)))</f>
        <v/>
      </c>
      <c r="K168" s="7" t="str">
        <f aca="false">IF(A168="","",IF(J168&gt;=3,"MOVE TO PIPELINE","Keep looking"))</f>
        <v/>
      </c>
      <c r="L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10" t="str">
        <f aca="false">IF(A169="","",(IF(D169&gt;=4,1,0))+(IF(E169&gt;=20,1,0))+(IF(G169="No",1,0))+(IF(H169="Yes",1,0))+(IF(I169="Yes",1,0)))</f>
        <v/>
      </c>
      <c r="K169" s="7" t="str">
        <f aca="false">IF(A169="","",IF(J169&gt;=3,"MOVE TO PIPELINE","Keep looking"))</f>
        <v/>
      </c>
      <c r="L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10" t="str">
        <f aca="false">IF(A170="","",(IF(D170&gt;=4,1,0))+(IF(E170&gt;=20,1,0))+(IF(G170="No",1,0))+(IF(H170="Yes",1,0))+(IF(I170="Yes",1,0)))</f>
        <v/>
      </c>
      <c r="K170" s="7" t="str">
        <f aca="false">IF(A170="","",IF(J170&gt;=3,"MOVE TO PIPELINE","Keep looking"))</f>
        <v/>
      </c>
      <c r="L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10" t="str">
        <f aca="false">IF(A171="","",(IF(D171&gt;=4,1,0))+(IF(E171&gt;=20,1,0))+(IF(G171="No",1,0))+(IF(H171="Yes",1,0))+(IF(I171="Yes",1,0)))</f>
        <v/>
      </c>
      <c r="K171" s="7" t="str">
        <f aca="false">IF(A171="","",IF(J171&gt;=3,"MOVE TO PIPELINE","Keep looking"))</f>
        <v/>
      </c>
      <c r="L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10" t="str">
        <f aca="false">IF(A172="","",(IF(D172&gt;=4,1,0))+(IF(E172&gt;=20,1,0))+(IF(G172="No",1,0))+(IF(H172="Yes",1,0))+(IF(I172="Yes",1,0)))</f>
        <v/>
      </c>
      <c r="K172" s="7" t="str">
        <f aca="false">IF(A172="","",IF(J172&gt;=3,"MOVE TO PIPELINE","Keep looking"))</f>
        <v/>
      </c>
      <c r="L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10" t="str">
        <f aca="false">IF(A173="","",(IF(D173&gt;=4,1,0))+(IF(E173&gt;=20,1,0))+(IF(G173="No",1,0))+(IF(H173="Yes",1,0))+(IF(I173="Yes",1,0)))</f>
        <v/>
      </c>
      <c r="K173" s="7" t="str">
        <f aca="false">IF(A173="","",IF(J173&gt;=3,"MOVE TO PIPELINE","Keep looking"))</f>
        <v/>
      </c>
      <c r="L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10" t="str">
        <f aca="false">IF(A174="","",(IF(D174&gt;=4,1,0))+(IF(E174&gt;=20,1,0))+(IF(G174="No",1,0))+(IF(H174="Yes",1,0))+(IF(I174="Yes",1,0)))</f>
        <v/>
      </c>
      <c r="K174" s="7" t="str">
        <f aca="false">IF(A174="","",IF(J174&gt;=3,"MOVE TO PIPELINE","Keep looking"))</f>
        <v/>
      </c>
      <c r="L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10" t="str">
        <f aca="false">IF(A175="","",(IF(D175&gt;=4,1,0))+(IF(E175&gt;=20,1,0))+(IF(G175="No",1,0))+(IF(H175="Yes",1,0))+(IF(I175="Yes",1,0)))</f>
        <v/>
      </c>
      <c r="K175" s="7" t="str">
        <f aca="false">IF(A175="","",IF(J175&gt;=3,"MOVE TO PIPELINE","Keep looking"))</f>
        <v/>
      </c>
      <c r="L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10" t="str">
        <f aca="false">IF(A176="","",(IF(D176&gt;=4,1,0))+(IF(E176&gt;=20,1,0))+(IF(G176="No",1,0))+(IF(H176="Yes",1,0))+(IF(I176="Yes",1,0)))</f>
        <v/>
      </c>
      <c r="K176" s="7" t="str">
        <f aca="false">IF(A176="","",IF(J176&gt;=3,"MOVE TO PIPELINE","Keep looking"))</f>
        <v/>
      </c>
      <c r="L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10" t="str">
        <f aca="false">IF(A177="","",(IF(D177&gt;=4,1,0))+(IF(E177&gt;=20,1,0))+(IF(G177="No",1,0))+(IF(H177="Yes",1,0))+(IF(I177="Yes",1,0)))</f>
        <v/>
      </c>
      <c r="K177" s="7" t="str">
        <f aca="false">IF(A177="","",IF(J177&gt;=3,"MOVE TO PIPELINE","Keep looking"))</f>
        <v/>
      </c>
      <c r="L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10" t="str">
        <f aca="false">IF(A178="","",(IF(D178&gt;=4,1,0))+(IF(E178&gt;=20,1,0))+(IF(G178="No",1,0))+(IF(H178="Yes",1,0))+(IF(I178="Yes",1,0)))</f>
        <v/>
      </c>
      <c r="K178" s="7" t="str">
        <f aca="false">IF(A178="","",IF(J178&gt;=3,"MOVE TO PIPELINE","Keep looking"))</f>
        <v/>
      </c>
      <c r="L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10" t="str">
        <f aca="false">IF(A179="","",(IF(D179&gt;=4,1,0))+(IF(E179&gt;=20,1,0))+(IF(G179="No",1,0))+(IF(H179="Yes",1,0))+(IF(I179="Yes",1,0)))</f>
        <v/>
      </c>
      <c r="K179" s="7" t="str">
        <f aca="false">IF(A179="","",IF(J179&gt;=3,"MOVE TO PIPELINE","Keep looking"))</f>
        <v/>
      </c>
      <c r="L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10" t="str">
        <f aca="false">IF(A180="","",(IF(D180&gt;=4,1,0))+(IF(E180&gt;=20,1,0))+(IF(G180="No",1,0))+(IF(H180="Yes",1,0))+(IF(I180="Yes",1,0)))</f>
        <v/>
      </c>
      <c r="K180" s="7" t="str">
        <f aca="false">IF(A180="","",IF(J180&gt;=3,"MOVE TO PIPELINE","Keep looking"))</f>
        <v/>
      </c>
      <c r="L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10" t="str">
        <f aca="false">IF(A181="","",(IF(D181&gt;=4,1,0))+(IF(E181&gt;=20,1,0))+(IF(G181="No",1,0))+(IF(H181="Yes",1,0))+(IF(I181="Yes",1,0)))</f>
        <v/>
      </c>
      <c r="K181" s="7" t="str">
        <f aca="false">IF(A181="","",IF(J181&gt;=3,"MOVE TO PIPELINE","Keep looking"))</f>
        <v/>
      </c>
      <c r="L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10" t="str">
        <f aca="false">IF(A182="","",(IF(D182&gt;=4,1,0))+(IF(E182&gt;=20,1,0))+(IF(G182="No",1,0))+(IF(H182="Yes",1,0))+(IF(I182="Yes",1,0)))</f>
        <v/>
      </c>
      <c r="K182" s="7" t="str">
        <f aca="false">IF(A182="","",IF(J182&gt;=3,"MOVE TO PIPELINE","Keep looking"))</f>
        <v/>
      </c>
      <c r="L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10" t="str">
        <f aca="false">IF(A183="","",(IF(D183&gt;=4,1,0))+(IF(E183&gt;=20,1,0))+(IF(G183="No",1,0))+(IF(H183="Yes",1,0))+(IF(I183="Yes",1,0)))</f>
        <v/>
      </c>
      <c r="K183" s="7" t="str">
        <f aca="false">IF(A183="","",IF(J183&gt;=3,"MOVE TO PIPELINE","Keep looking"))</f>
        <v/>
      </c>
      <c r="L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10" t="str">
        <f aca="false">IF(A184="","",(IF(D184&gt;=4,1,0))+(IF(E184&gt;=20,1,0))+(IF(G184="No",1,0))+(IF(H184="Yes",1,0))+(IF(I184="Yes",1,0)))</f>
        <v/>
      </c>
      <c r="K184" s="7" t="str">
        <f aca="false">IF(A184="","",IF(J184&gt;=3,"MOVE TO PIPELINE","Keep looking"))</f>
        <v/>
      </c>
      <c r="L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10" t="str">
        <f aca="false">IF(A185="","",(IF(D185&gt;=4,1,0))+(IF(E185&gt;=20,1,0))+(IF(G185="No",1,0))+(IF(H185="Yes",1,0))+(IF(I185="Yes",1,0)))</f>
        <v/>
      </c>
      <c r="K185" s="7" t="str">
        <f aca="false">IF(A185="","",IF(J185&gt;=3,"MOVE TO PIPELINE","Keep looking"))</f>
        <v/>
      </c>
      <c r="L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10" t="str">
        <f aca="false">IF(A186="","",(IF(D186&gt;=4,1,0))+(IF(E186&gt;=20,1,0))+(IF(G186="No",1,0))+(IF(H186="Yes",1,0))+(IF(I186="Yes",1,0)))</f>
        <v/>
      </c>
      <c r="K186" s="7" t="str">
        <f aca="false">IF(A186="","",IF(J186&gt;=3,"MOVE TO PIPELINE","Keep looking"))</f>
        <v/>
      </c>
      <c r="L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10" t="str">
        <f aca="false">IF(A187="","",(IF(D187&gt;=4,1,0))+(IF(E187&gt;=20,1,0))+(IF(G187="No",1,0))+(IF(H187="Yes",1,0))+(IF(I187="Yes",1,0)))</f>
        <v/>
      </c>
      <c r="K187" s="7" t="str">
        <f aca="false">IF(A187="","",IF(J187&gt;=3,"MOVE TO PIPELINE","Keep looking"))</f>
        <v/>
      </c>
      <c r="L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10" t="str">
        <f aca="false">IF(A188="","",(IF(D188&gt;=4,1,0))+(IF(E188&gt;=20,1,0))+(IF(G188="No",1,0))+(IF(H188="Yes",1,0))+(IF(I188="Yes",1,0)))</f>
        <v/>
      </c>
      <c r="K188" s="7" t="str">
        <f aca="false">IF(A188="","",IF(J188&gt;=3,"MOVE TO PIPELINE","Keep looking"))</f>
        <v/>
      </c>
      <c r="L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10" t="str">
        <f aca="false">IF(A189="","",(IF(D189&gt;=4,1,0))+(IF(E189&gt;=20,1,0))+(IF(G189="No",1,0))+(IF(H189="Yes",1,0))+(IF(I189="Yes",1,0)))</f>
        <v/>
      </c>
      <c r="K189" s="7" t="str">
        <f aca="false">IF(A189="","",IF(J189&gt;=3,"MOVE TO PIPELINE","Keep looking"))</f>
        <v/>
      </c>
      <c r="L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10" t="str">
        <f aca="false">IF(A190="","",(IF(D190&gt;=4,1,0))+(IF(E190&gt;=20,1,0))+(IF(G190="No",1,0))+(IF(H190="Yes",1,0))+(IF(I190="Yes",1,0)))</f>
        <v/>
      </c>
      <c r="K190" s="7" t="str">
        <f aca="false">IF(A190="","",IF(J190&gt;=3,"MOVE TO PIPELINE","Keep looking"))</f>
        <v/>
      </c>
      <c r="L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10" t="str">
        <f aca="false">IF(A191="","",(IF(D191&gt;=4,1,0))+(IF(E191&gt;=20,1,0))+(IF(G191="No",1,0))+(IF(H191="Yes",1,0))+(IF(I191="Yes",1,0)))</f>
        <v/>
      </c>
      <c r="K191" s="7" t="str">
        <f aca="false">IF(A191="","",IF(J191&gt;=3,"MOVE TO PIPELINE","Keep looking"))</f>
        <v/>
      </c>
      <c r="L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10" t="str">
        <f aca="false">IF(A192="","",(IF(D192&gt;=4,1,0))+(IF(E192&gt;=20,1,0))+(IF(G192="No",1,0))+(IF(H192="Yes",1,0))+(IF(I192="Yes",1,0)))</f>
        <v/>
      </c>
      <c r="K192" s="7" t="str">
        <f aca="false">IF(A192="","",IF(J192&gt;=3,"MOVE TO PIPELINE","Keep looking"))</f>
        <v/>
      </c>
      <c r="L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10" t="str">
        <f aca="false">IF(A193="","",(IF(D193&gt;=4,1,0))+(IF(E193&gt;=20,1,0))+(IF(G193="No",1,0))+(IF(H193="Yes",1,0))+(IF(I193="Yes",1,0)))</f>
        <v/>
      </c>
      <c r="K193" s="7" t="str">
        <f aca="false">IF(A193="","",IF(J193&gt;=3,"MOVE TO PIPELINE","Keep looking"))</f>
        <v/>
      </c>
      <c r="L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10" t="str">
        <f aca="false">IF(A194="","",(IF(D194&gt;=4,1,0))+(IF(E194&gt;=20,1,0))+(IF(G194="No",1,0))+(IF(H194="Yes",1,0))+(IF(I194="Yes",1,0)))</f>
        <v/>
      </c>
      <c r="K194" s="7" t="str">
        <f aca="false">IF(A194="","",IF(J194&gt;=3,"MOVE TO PIPELINE","Keep looking"))</f>
        <v/>
      </c>
      <c r="L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10" t="str">
        <f aca="false">IF(A195="","",(IF(D195&gt;=4,1,0))+(IF(E195&gt;=20,1,0))+(IF(G195="No",1,0))+(IF(H195="Yes",1,0))+(IF(I195="Yes",1,0)))</f>
        <v/>
      </c>
      <c r="K195" s="7" t="str">
        <f aca="false">IF(A195="","",IF(J195&gt;=3,"MOVE TO PIPELINE","Keep looking"))</f>
        <v/>
      </c>
      <c r="L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10" t="str">
        <f aca="false">IF(A196="","",(IF(D196&gt;=4,1,0))+(IF(E196&gt;=20,1,0))+(IF(G196="No",1,0))+(IF(H196="Yes",1,0))+(IF(I196="Yes",1,0)))</f>
        <v/>
      </c>
      <c r="K196" s="7" t="str">
        <f aca="false">IF(A196="","",IF(J196&gt;=3,"MOVE TO PIPELINE","Keep looking"))</f>
        <v/>
      </c>
      <c r="L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10" t="str">
        <f aca="false">IF(A197="","",(IF(D197&gt;=4,1,0))+(IF(E197&gt;=20,1,0))+(IF(G197="No",1,0))+(IF(H197="Yes",1,0))+(IF(I197="Yes",1,0)))</f>
        <v/>
      </c>
      <c r="K197" s="7" t="str">
        <f aca="false">IF(A197="","",IF(J197&gt;=3,"MOVE TO PIPELINE","Keep looking"))</f>
        <v/>
      </c>
      <c r="L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10" t="str">
        <f aca="false">IF(A198="","",(IF(D198&gt;=4,1,0))+(IF(E198&gt;=20,1,0))+(IF(G198="No",1,0))+(IF(H198="Yes",1,0))+(IF(I198="Yes",1,0)))</f>
        <v/>
      </c>
      <c r="K198" s="7" t="str">
        <f aca="false">IF(A198="","",IF(J198&gt;=3,"MOVE TO PIPELINE","Keep looking"))</f>
        <v/>
      </c>
      <c r="L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10" t="str">
        <f aca="false">IF(A199="","",(IF(D199&gt;=4,1,0))+(IF(E199&gt;=20,1,0))+(IF(G199="No",1,0))+(IF(H199="Yes",1,0))+(IF(I199="Yes",1,0)))</f>
        <v/>
      </c>
      <c r="K199" s="7" t="str">
        <f aca="false">IF(A199="","",IF(J199&gt;=3,"MOVE TO PIPELINE","Keep looking"))</f>
        <v/>
      </c>
      <c r="L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10" t="str">
        <f aca="false">IF(A200="","",(IF(D200&gt;=4,1,0))+(IF(E200&gt;=20,1,0))+(IF(G200="No",1,0))+(IF(H200="Yes",1,0))+(IF(I200="Yes",1,0)))</f>
        <v/>
      </c>
      <c r="K200" s="7" t="str">
        <f aca="false">IF(A200="","",IF(J200&gt;=3,"MOVE TO PIPELINE","Keep looking"))</f>
        <v/>
      </c>
      <c r="L200" s="7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10" t="str">
        <f aca="false">IF(A201="","",(IF(D201&gt;=4,1,0))+(IF(E201&gt;=20,1,0))+(IF(G201="No",1,0))+(IF(H201="Yes",1,0))+(IF(I201="Yes",1,0)))</f>
        <v/>
      </c>
      <c r="K201" s="7" t="str">
        <f aca="false">IF(A201="","",IF(J201&gt;=3,"MOVE TO PIPELINE","Keep looking"))</f>
        <v/>
      </c>
      <c r="L201" s="7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10" t="str">
        <f aca="false">IF(A202="","",(IF(D202&gt;=4,1,0))+(IF(E202&gt;=20,1,0))+(IF(G202="No",1,0))+(IF(H202="Yes",1,0))+(IF(I202="Yes",1,0)))</f>
        <v/>
      </c>
      <c r="K202" s="7" t="str">
        <f aca="false">IF(A202="","",IF(J202&gt;=3,"MOVE TO PIPELINE","Keep looking"))</f>
        <v/>
      </c>
      <c r="L202" s="7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10" t="str">
        <f aca="false">IF(A203="","",(IF(D203&gt;=4,1,0))+(IF(E203&gt;=20,1,0))+(IF(G203="No",1,0))+(IF(H203="Yes",1,0))+(IF(I203="Yes",1,0)))</f>
        <v/>
      </c>
      <c r="K203" s="7" t="str">
        <f aca="false">IF(A203="","",IF(J203&gt;=3,"MOVE TO PIPELINE","Keep looking"))</f>
        <v/>
      </c>
      <c r="L203" s="7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10" t="str">
        <f aca="false">IF(A204="","",(IF(D204&gt;=4,1,0))+(IF(E204&gt;=20,1,0))+(IF(G204="No",1,0))+(IF(H204="Yes",1,0))+(IF(I204="Yes",1,0)))</f>
        <v/>
      </c>
      <c r="K204" s="7" t="str">
        <f aca="false">IF(A204="","",IF(J204&gt;=3,"MOVE TO PIPELINE","Keep looking"))</f>
        <v/>
      </c>
      <c r="L204" s="7"/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10" t="str">
        <f aca="false">IF(A205="","",(IF(D205&gt;=4,1,0))+(IF(E205&gt;=20,1,0))+(IF(G205="No",1,0))+(IF(H205="Yes",1,0))+(IF(I205="Yes",1,0)))</f>
        <v/>
      </c>
      <c r="K205" s="7" t="str">
        <f aca="false">IF(A205="","",IF(J205&gt;=3,"MOVE TO PIPELINE","Keep looking"))</f>
        <v/>
      </c>
      <c r="L205" s="7"/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10" t="str">
        <f aca="false">IF(A206="","",(IF(D206&gt;=4,1,0))+(IF(E206&gt;=20,1,0))+(IF(G206="No",1,0))+(IF(H206="Yes",1,0))+(IF(I206="Yes",1,0)))</f>
        <v/>
      </c>
      <c r="K206" s="7" t="str">
        <f aca="false">IF(A206="","",IF(J206&gt;=3,"MOVE TO PIPELINE","Keep looking"))</f>
        <v/>
      </c>
      <c r="L206" s="7"/>
    </row>
    <row r="207" customFormat="false" ht="15" hidden="false" customHeight="fals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10" t="str">
        <f aca="false">IF(A207="","",(IF(D207&gt;=4,1,0))+(IF(E207&gt;=20,1,0))+(IF(G207="No",1,0))+(IF(H207="Yes",1,0))+(IF(I207="Yes",1,0)))</f>
        <v/>
      </c>
      <c r="K207" s="7" t="str">
        <f aca="false">IF(A207="","",IF(J207&gt;=3,"MOVE TO PIPELINE","Keep looking"))</f>
        <v/>
      </c>
      <c r="L207" s="7"/>
    </row>
    <row r="208" customFormat="false" ht="15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10" t="str">
        <f aca="false">IF(A208="","",(IF(D208&gt;=4,1,0))+(IF(E208&gt;=20,1,0))+(IF(G208="No",1,0))+(IF(H208="Yes",1,0))+(IF(I208="Yes",1,0)))</f>
        <v/>
      </c>
      <c r="K208" s="7" t="str">
        <f aca="false">IF(A208="","",IF(J208&gt;=3,"MOVE TO PIPELINE","Keep looking"))</f>
        <v/>
      </c>
      <c r="L208" s="7"/>
    </row>
    <row r="209" customFormat="false" ht="15" hidden="false" customHeight="fals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10" t="str">
        <f aca="false">IF(A209="","",(IF(D209&gt;=4,1,0))+(IF(E209&gt;=20,1,0))+(IF(G209="No",1,0))+(IF(H209="Yes",1,0))+(IF(I209="Yes",1,0)))</f>
        <v/>
      </c>
      <c r="K209" s="7" t="str">
        <f aca="false">IF(A209="","",IF(J209&gt;=3,"MOVE TO PIPELINE","Keep looking"))</f>
        <v/>
      </c>
      <c r="L209" s="7"/>
    </row>
    <row r="210" customFormat="false" ht="15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10" t="str">
        <f aca="false">IF(A210="","",(IF(D210&gt;=4,1,0))+(IF(E210&gt;=20,1,0))+(IF(G210="No",1,0))+(IF(H210="Yes",1,0))+(IF(I210="Yes",1,0)))</f>
        <v/>
      </c>
      <c r="K210" s="7" t="str">
        <f aca="false">IF(A210="","",IF(J210&gt;=3,"MOVE TO PIPELINE","Keep looking"))</f>
        <v/>
      </c>
      <c r="L210" s="7"/>
    </row>
    <row r="211" customFormat="false" ht="15" hidden="false" customHeight="fals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10" t="str">
        <f aca="false">IF(A211="","",(IF(D211&gt;=4,1,0))+(IF(E211&gt;=20,1,0))+(IF(G211="No",1,0))+(IF(H211="Yes",1,0))+(IF(I211="Yes",1,0)))</f>
        <v/>
      </c>
      <c r="K211" s="7" t="str">
        <f aca="false">IF(A211="","",IF(J211&gt;=3,"MOVE TO PIPELINE","Keep looking"))</f>
        <v/>
      </c>
      <c r="L211" s="7"/>
    </row>
    <row r="212" customFormat="false" ht="15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10" t="str">
        <f aca="false">IF(A212="","",(IF(D212&gt;=4,1,0))+(IF(E212&gt;=20,1,0))+(IF(G212="No",1,0))+(IF(H212="Yes",1,0))+(IF(I212="Yes",1,0)))</f>
        <v/>
      </c>
      <c r="K212" s="7" t="str">
        <f aca="false">IF(A212="","",IF(J212&gt;=3,"MOVE TO PIPELINE","Keep looking"))</f>
        <v/>
      </c>
      <c r="L212" s="7"/>
    </row>
    <row r="213" customFormat="false" ht="15" hidden="false" customHeight="fals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10" t="str">
        <f aca="false">IF(A213="","",(IF(D213&gt;=4,1,0))+(IF(E213&gt;=20,1,0))+(IF(G213="No",1,0))+(IF(H213="Yes",1,0))+(IF(I213="Yes",1,0)))</f>
        <v/>
      </c>
      <c r="K213" s="7" t="str">
        <f aca="false">IF(A213="","",IF(J213&gt;=3,"MOVE TO PIPELINE","Keep looking"))</f>
        <v/>
      </c>
      <c r="L213" s="7"/>
    </row>
    <row r="214" customFormat="false" ht="15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10" t="str">
        <f aca="false">IF(A214="","",(IF(D214&gt;=4,1,0))+(IF(E214&gt;=20,1,0))+(IF(G214="No",1,0))+(IF(H214="Yes",1,0))+(IF(I214="Yes",1,0)))</f>
        <v/>
      </c>
      <c r="K214" s="7" t="str">
        <f aca="false">IF(A214="","",IF(J214&gt;=3,"MOVE TO PIPELINE","Keep looking"))</f>
        <v/>
      </c>
      <c r="L214" s="7"/>
    </row>
    <row r="215" customFormat="false" ht="15" hidden="false" customHeight="fals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10" t="str">
        <f aca="false">IF(A215="","",(IF(D215&gt;=4,1,0))+(IF(E215&gt;=20,1,0))+(IF(G215="No",1,0))+(IF(H215="Yes",1,0))+(IF(I215="Yes",1,0)))</f>
        <v/>
      </c>
      <c r="K215" s="7" t="str">
        <f aca="false">IF(A215="","",IF(J215&gt;=3,"MOVE TO PIPELINE","Keep looking"))</f>
        <v/>
      </c>
      <c r="L215" s="7"/>
    </row>
    <row r="216" customFormat="false" ht="15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10" t="str">
        <f aca="false">IF(A216="","",(IF(D216&gt;=4,1,0))+(IF(E216&gt;=20,1,0))+(IF(G216="No",1,0))+(IF(H216="Yes",1,0))+(IF(I216="Yes",1,0)))</f>
        <v/>
      </c>
      <c r="K216" s="7" t="str">
        <f aca="false">IF(A216="","",IF(J216&gt;=3,"MOVE TO PIPELINE","Keep looking"))</f>
        <v/>
      </c>
      <c r="L216" s="7"/>
    </row>
    <row r="217" customFormat="false" ht="15" hidden="false" customHeight="fals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10" t="str">
        <f aca="false">IF(A217="","",(IF(D217&gt;=4,1,0))+(IF(E217&gt;=20,1,0))+(IF(G217="No",1,0))+(IF(H217="Yes",1,0))+(IF(I217="Yes",1,0)))</f>
        <v/>
      </c>
      <c r="K217" s="7" t="str">
        <f aca="false">IF(A217="","",IF(J217&gt;=3,"MOVE TO PIPELINE","Keep looking"))</f>
        <v/>
      </c>
      <c r="L217" s="7"/>
    </row>
    <row r="218" customFormat="false" ht="15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10" t="str">
        <f aca="false">IF(A218="","",(IF(D218&gt;=4,1,0))+(IF(E218&gt;=20,1,0))+(IF(G218="No",1,0))+(IF(H218="Yes",1,0))+(IF(I218="Yes",1,0)))</f>
        <v/>
      </c>
      <c r="K218" s="7" t="str">
        <f aca="false">IF(A218="","",IF(J218&gt;=3,"MOVE TO PIPELINE","Keep looking"))</f>
        <v/>
      </c>
      <c r="L218" s="7"/>
    </row>
    <row r="219" customFormat="false" ht="15" hidden="false" customHeight="fals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10" t="str">
        <f aca="false">IF(A219="","",(IF(D219&gt;=4,1,0))+(IF(E219&gt;=20,1,0))+(IF(G219="No",1,0))+(IF(H219="Yes",1,0))+(IF(I219="Yes",1,0)))</f>
        <v/>
      </c>
      <c r="K219" s="7" t="str">
        <f aca="false">IF(A219="","",IF(J219&gt;=3,"MOVE TO PIPELINE","Keep looking"))</f>
        <v/>
      </c>
      <c r="L219" s="7"/>
    </row>
    <row r="220" customFormat="false" ht="15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10" t="str">
        <f aca="false">IF(A220="","",(IF(D220&gt;=4,1,0))+(IF(E220&gt;=20,1,0))+(IF(G220="No",1,0))+(IF(H220="Yes",1,0))+(IF(I220="Yes",1,0)))</f>
        <v/>
      </c>
      <c r="K220" s="7" t="str">
        <f aca="false">IF(A220="","",IF(J220&gt;=3,"MOVE TO PIPELINE","Keep looking"))</f>
        <v/>
      </c>
      <c r="L220" s="7"/>
    </row>
    <row r="221" customFormat="false" ht="15" hidden="false" customHeight="fals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10" t="str">
        <f aca="false">IF(A221="","",(IF(D221&gt;=4,1,0))+(IF(E221&gt;=20,1,0))+(IF(G221="No",1,0))+(IF(H221="Yes",1,0))+(IF(I221="Yes",1,0)))</f>
        <v/>
      </c>
      <c r="K221" s="7" t="str">
        <f aca="false">IF(A221="","",IF(J221&gt;=3,"MOVE TO PIPELINE","Keep looking"))</f>
        <v/>
      </c>
      <c r="L221" s="7"/>
    </row>
    <row r="222" customFormat="false" ht="15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10" t="str">
        <f aca="false">IF(A222="","",(IF(D222&gt;=4,1,0))+(IF(E222&gt;=20,1,0))+(IF(G222="No",1,0))+(IF(H222="Yes",1,0))+(IF(I222="Yes",1,0)))</f>
        <v/>
      </c>
      <c r="K222" s="7" t="str">
        <f aca="false">IF(A222="","",IF(J222&gt;=3,"MOVE TO PIPELINE","Keep looking"))</f>
        <v/>
      </c>
      <c r="L222" s="7"/>
    </row>
    <row r="223" customFormat="false" ht="15" hidden="false" customHeight="fals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10" t="str">
        <f aca="false">IF(A223="","",(IF(D223&gt;=4,1,0))+(IF(E223&gt;=20,1,0))+(IF(G223="No",1,0))+(IF(H223="Yes",1,0))+(IF(I223="Yes",1,0)))</f>
        <v/>
      </c>
      <c r="K223" s="7" t="str">
        <f aca="false">IF(A223="","",IF(J223&gt;=3,"MOVE TO PIPELINE","Keep looking"))</f>
        <v/>
      </c>
      <c r="L223" s="7"/>
    </row>
    <row r="224" customFormat="false" ht="15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10" t="str">
        <f aca="false">IF(A224="","",(IF(D224&gt;=4,1,0))+(IF(E224&gt;=20,1,0))+(IF(G224="No",1,0))+(IF(H224="Yes",1,0))+(IF(I224="Yes",1,0)))</f>
        <v/>
      </c>
      <c r="K224" s="7" t="str">
        <f aca="false">IF(A224="","",IF(J224&gt;=3,"MOVE TO PIPELINE","Keep looking"))</f>
        <v/>
      </c>
      <c r="L224" s="7"/>
    </row>
    <row r="225" customFormat="false" ht="15" hidden="false" customHeight="fals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10" t="str">
        <f aca="false">IF(A225="","",(IF(D225&gt;=4,1,0))+(IF(E225&gt;=20,1,0))+(IF(G225="No",1,0))+(IF(H225="Yes",1,0))+(IF(I225="Yes",1,0)))</f>
        <v/>
      </c>
      <c r="K225" s="7" t="str">
        <f aca="false">IF(A225="","",IF(J225&gt;=3,"MOVE TO PIPELINE","Keep looking"))</f>
        <v/>
      </c>
      <c r="L225" s="7"/>
    </row>
    <row r="226" customFormat="false" ht="15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10" t="str">
        <f aca="false">IF(A226="","",(IF(D226&gt;=4,1,0))+(IF(E226&gt;=20,1,0))+(IF(G226="No",1,0))+(IF(H226="Yes",1,0))+(IF(I226="Yes",1,0)))</f>
        <v/>
      </c>
      <c r="K226" s="7" t="str">
        <f aca="false">IF(A226="","",IF(J226&gt;=3,"MOVE TO PIPELINE","Keep looking"))</f>
        <v/>
      </c>
      <c r="L226" s="7"/>
    </row>
    <row r="227" customFormat="false" ht="15" hidden="false" customHeight="fals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10" t="str">
        <f aca="false">IF(A227="","",(IF(D227&gt;=4,1,0))+(IF(E227&gt;=20,1,0))+(IF(G227="No",1,0))+(IF(H227="Yes",1,0))+(IF(I227="Yes",1,0)))</f>
        <v/>
      </c>
      <c r="K227" s="7" t="str">
        <f aca="false">IF(A227="","",IF(J227&gt;=3,"MOVE TO PIPELINE","Keep looking"))</f>
        <v/>
      </c>
      <c r="L227" s="7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10" t="str">
        <f aca="false">IF(A228="","",(IF(D228&gt;=4,1,0))+(IF(E228&gt;=20,1,0))+(IF(G228="No",1,0))+(IF(H228="Yes",1,0))+(IF(I228="Yes",1,0)))</f>
        <v/>
      </c>
      <c r="K228" s="7" t="str">
        <f aca="false">IF(A228="","",IF(J228&gt;=3,"MOVE TO PIPELINE","Keep looking"))</f>
        <v/>
      </c>
      <c r="L228" s="7"/>
    </row>
    <row r="229" customFormat="false" ht="15" hidden="false" customHeight="fals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10" t="str">
        <f aca="false">IF(A229="","",(IF(D229&gt;=4,1,0))+(IF(E229&gt;=20,1,0))+(IF(G229="No",1,0))+(IF(H229="Yes",1,0))+(IF(I229="Yes",1,0)))</f>
        <v/>
      </c>
      <c r="K229" s="7" t="str">
        <f aca="false">IF(A229="","",IF(J229&gt;=3,"MOVE TO PIPELINE","Keep looking"))</f>
        <v/>
      </c>
      <c r="L229" s="7"/>
    </row>
    <row r="230" customFormat="false" ht="15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10" t="str">
        <f aca="false">IF(A230="","",(IF(D230&gt;=4,1,0))+(IF(E230&gt;=20,1,0))+(IF(G230="No",1,0))+(IF(H230="Yes",1,0))+(IF(I230="Yes",1,0)))</f>
        <v/>
      </c>
      <c r="K230" s="7" t="str">
        <f aca="false">IF(A230="","",IF(J230&gt;=3,"MOVE TO PIPELINE","Keep looking"))</f>
        <v/>
      </c>
      <c r="L230" s="7"/>
    </row>
    <row r="231" customFormat="false" ht="15" hidden="false" customHeight="fals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10" t="str">
        <f aca="false">IF(A231="","",(IF(D231&gt;=4,1,0))+(IF(E231&gt;=20,1,0))+(IF(G231="No",1,0))+(IF(H231="Yes",1,0))+(IF(I231="Yes",1,0)))</f>
        <v/>
      </c>
      <c r="K231" s="7" t="str">
        <f aca="false">IF(A231="","",IF(J231&gt;=3,"MOVE TO PIPELINE","Keep looking"))</f>
        <v/>
      </c>
      <c r="L231" s="7"/>
    </row>
    <row r="232" customFormat="false" ht="15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10" t="str">
        <f aca="false">IF(A232="","",(IF(D232&gt;=4,1,0))+(IF(E232&gt;=20,1,0))+(IF(G232="No",1,0))+(IF(H232="Yes",1,0))+(IF(I232="Yes",1,0)))</f>
        <v/>
      </c>
      <c r="K232" s="7" t="str">
        <f aca="false">IF(A232="","",IF(J232&gt;=3,"MOVE TO PIPELINE","Keep looking"))</f>
        <v/>
      </c>
      <c r="L232" s="7"/>
    </row>
    <row r="233" customFormat="false" ht="15" hidden="false" customHeight="fals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10" t="str">
        <f aca="false">IF(A233="","",(IF(D233&gt;=4,1,0))+(IF(E233&gt;=20,1,0))+(IF(G233="No",1,0))+(IF(H233="Yes",1,0))+(IF(I233="Yes",1,0)))</f>
        <v/>
      </c>
      <c r="K233" s="7" t="str">
        <f aca="false">IF(A233="","",IF(J233&gt;=3,"MOVE TO PIPELINE","Keep looking"))</f>
        <v/>
      </c>
      <c r="L233" s="7"/>
    </row>
    <row r="234" customFormat="false" ht="15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10" t="str">
        <f aca="false">IF(A234="","",(IF(D234&gt;=4,1,0))+(IF(E234&gt;=20,1,0))+(IF(G234="No",1,0))+(IF(H234="Yes",1,0))+(IF(I234="Yes",1,0)))</f>
        <v/>
      </c>
      <c r="K234" s="7" t="str">
        <f aca="false">IF(A234="","",IF(J234&gt;=3,"MOVE TO PIPELINE","Keep looking"))</f>
        <v/>
      </c>
      <c r="L234" s="7"/>
    </row>
    <row r="235" customFormat="false" ht="15" hidden="false" customHeight="fals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10" t="str">
        <f aca="false">IF(A235="","",(IF(D235&gt;=4,1,0))+(IF(E235&gt;=20,1,0))+(IF(G235="No",1,0))+(IF(H235="Yes",1,0))+(IF(I235="Yes",1,0)))</f>
        <v/>
      </c>
      <c r="K235" s="7" t="str">
        <f aca="false">IF(A235="","",IF(J235&gt;=3,"MOVE TO PIPELINE","Keep looking"))</f>
        <v/>
      </c>
      <c r="L235" s="7"/>
    </row>
    <row r="236" customFormat="false" ht="15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10" t="str">
        <f aca="false">IF(A236="","",(IF(D236&gt;=4,1,0))+(IF(E236&gt;=20,1,0))+(IF(G236="No",1,0))+(IF(H236="Yes",1,0))+(IF(I236="Yes",1,0)))</f>
        <v/>
      </c>
      <c r="K236" s="7" t="str">
        <f aca="false">IF(A236="","",IF(J236&gt;=3,"MOVE TO PIPELINE","Keep looking"))</f>
        <v/>
      </c>
      <c r="L236" s="7"/>
    </row>
    <row r="237" customFormat="false" ht="15" hidden="false" customHeight="fals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10" t="str">
        <f aca="false">IF(A237="","",(IF(D237&gt;=4,1,0))+(IF(E237&gt;=20,1,0))+(IF(G237="No",1,0))+(IF(H237="Yes",1,0))+(IF(I237="Yes",1,0)))</f>
        <v/>
      </c>
      <c r="K237" s="7" t="str">
        <f aca="false">IF(A237="","",IF(J237&gt;=3,"MOVE TO PIPELINE","Keep looking"))</f>
        <v/>
      </c>
      <c r="L237" s="7"/>
    </row>
    <row r="238" customFormat="false" ht="15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10" t="str">
        <f aca="false">IF(A238="","",(IF(D238&gt;=4,1,0))+(IF(E238&gt;=20,1,0))+(IF(G238="No",1,0))+(IF(H238="Yes",1,0))+(IF(I238="Yes",1,0)))</f>
        <v/>
      </c>
      <c r="K238" s="7" t="str">
        <f aca="false">IF(A238="","",IF(J238&gt;=3,"MOVE TO PIPELINE","Keep looking"))</f>
        <v/>
      </c>
      <c r="L238" s="7"/>
    </row>
    <row r="239" customFormat="false" ht="15" hidden="false" customHeight="fals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10" t="str">
        <f aca="false">IF(A239="","",(IF(D239&gt;=4,1,0))+(IF(E239&gt;=20,1,0))+(IF(G239="No",1,0))+(IF(H239="Yes",1,0))+(IF(I239="Yes",1,0)))</f>
        <v/>
      </c>
      <c r="K239" s="7" t="str">
        <f aca="false">IF(A239="","",IF(J239&gt;=3,"MOVE TO PIPELINE","Keep looking"))</f>
        <v/>
      </c>
      <c r="L239" s="7"/>
    </row>
    <row r="240" customFormat="false" ht="15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10" t="str">
        <f aca="false">IF(A240="","",(IF(D240&gt;=4,1,0))+(IF(E240&gt;=20,1,0))+(IF(G240="No",1,0))+(IF(H240="Yes",1,0))+(IF(I240="Yes",1,0)))</f>
        <v/>
      </c>
      <c r="K240" s="7" t="str">
        <f aca="false">IF(A240="","",IF(J240&gt;=3,"MOVE TO PIPELINE","Keep looking"))</f>
        <v/>
      </c>
      <c r="L240" s="7"/>
    </row>
    <row r="241" customFormat="false" ht="15" hidden="false" customHeight="fals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10" t="str">
        <f aca="false">IF(A241="","",(IF(D241&gt;=4,1,0))+(IF(E241&gt;=20,1,0))+(IF(G241="No",1,0))+(IF(H241="Yes",1,0))+(IF(I241="Yes",1,0)))</f>
        <v/>
      </c>
      <c r="K241" s="7" t="str">
        <f aca="false">IF(A241="","",IF(J241&gt;=3,"MOVE TO PIPELINE","Keep looking"))</f>
        <v/>
      </c>
      <c r="L241" s="7"/>
    </row>
    <row r="242" customFormat="false" ht="15" hidden="false" customHeight="fals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10" t="str">
        <f aca="false">IF(A242="","",(IF(D242&gt;=4,1,0))+(IF(E242&gt;=20,1,0))+(IF(G242="No",1,0))+(IF(H242="Yes",1,0))+(IF(I242="Yes",1,0)))</f>
        <v/>
      </c>
      <c r="K242" s="7" t="str">
        <f aca="false">IF(A242="","",IF(J242&gt;=3,"MOVE TO PIPELINE","Keep looking"))</f>
        <v/>
      </c>
      <c r="L242" s="7"/>
    </row>
    <row r="243" customFormat="false" ht="15" hidden="false" customHeight="fals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10" t="str">
        <f aca="false">IF(A243="","",(IF(D243&gt;=4,1,0))+(IF(E243&gt;=20,1,0))+(IF(G243="No",1,0))+(IF(H243="Yes",1,0))+(IF(I243="Yes",1,0)))</f>
        <v/>
      </c>
      <c r="K243" s="7" t="str">
        <f aca="false">IF(A243="","",IF(J243&gt;=3,"MOVE TO PIPELINE","Keep looking"))</f>
        <v/>
      </c>
      <c r="L243" s="7"/>
    </row>
    <row r="244" customFormat="false" ht="15" hidden="false" customHeight="fals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10" t="str">
        <f aca="false">IF(A244="","",(IF(D244&gt;=4,1,0))+(IF(E244&gt;=20,1,0))+(IF(G244="No",1,0))+(IF(H244="Yes",1,0))+(IF(I244="Yes",1,0)))</f>
        <v/>
      </c>
      <c r="K244" s="7" t="str">
        <f aca="false">IF(A244="","",IF(J244&gt;=3,"MOVE TO PIPELINE","Keep looking"))</f>
        <v/>
      </c>
      <c r="L244" s="7"/>
    </row>
    <row r="245" customFormat="false" ht="15" hidden="false" customHeight="fals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10" t="str">
        <f aca="false">IF(A245="","",(IF(D245&gt;=4,1,0))+(IF(E245&gt;=20,1,0))+(IF(G245="No",1,0))+(IF(H245="Yes",1,0))+(IF(I245="Yes",1,0)))</f>
        <v/>
      </c>
      <c r="K245" s="7" t="str">
        <f aca="false">IF(A245="","",IF(J245&gt;=3,"MOVE TO PIPELINE","Keep looking"))</f>
        <v/>
      </c>
      <c r="L245" s="7"/>
    </row>
    <row r="246" customFormat="false" ht="15" hidden="false" customHeight="fals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10" t="str">
        <f aca="false">IF(A246="","",(IF(D246&gt;=4,1,0))+(IF(E246&gt;=20,1,0))+(IF(G246="No",1,0))+(IF(H246="Yes",1,0))+(IF(I246="Yes",1,0)))</f>
        <v/>
      </c>
      <c r="K246" s="7" t="str">
        <f aca="false">IF(A246="","",IF(J246&gt;=3,"MOVE TO PIPELINE","Keep looking"))</f>
        <v/>
      </c>
      <c r="L246" s="7"/>
    </row>
    <row r="247" customFormat="false" ht="15" hidden="false" customHeight="fals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10" t="str">
        <f aca="false">IF(A247="","",(IF(D247&gt;=4,1,0))+(IF(E247&gt;=20,1,0))+(IF(G247="No",1,0))+(IF(H247="Yes",1,0))+(IF(I247="Yes",1,0)))</f>
        <v/>
      </c>
      <c r="K247" s="7" t="str">
        <f aca="false">IF(A247="","",IF(J247&gt;=3,"MOVE TO PIPELINE","Keep looking"))</f>
        <v/>
      </c>
      <c r="L247" s="7"/>
    </row>
    <row r="248" customFormat="false" ht="15" hidden="false" customHeight="fals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10" t="str">
        <f aca="false">IF(A248="","",(IF(D248&gt;=4,1,0))+(IF(E248&gt;=20,1,0))+(IF(G248="No",1,0))+(IF(H248="Yes",1,0))+(IF(I248="Yes",1,0)))</f>
        <v/>
      </c>
      <c r="K248" s="7" t="str">
        <f aca="false">IF(A248="","",IF(J248&gt;=3,"MOVE TO PIPELINE","Keep looking"))</f>
        <v/>
      </c>
      <c r="L248" s="7"/>
    </row>
    <row r="249" customFormat="false" ht="15" hidden="false" customHeight="fals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10" t="str">
        <f aca="false">IF(A249="","",(IF(D249&gt;=4,1,0))+(IF(E249&gt;=20,1,0))+(IF(G249="No",1,0))+(IF(H249="Yes",1,0))+(IF(I249="Yes",1,0)))</f>
        <v/>
      </c>
      <c r="K249" s="7" t="str">
        <f aca="false">IF(A249="","",IF(J249&gt;=3,"MOVE TO PIPELINE","Keep looking"))</f>
        <v/>
      </c>
      <c r="L249" s="7"/>
    </row>
    <row r="250" customFormat="false" ht="15" hidden="false" customHeight="fals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10" t="str">
        <f aca="false">IF(A250="","",(IF(D250&gt;=4,1,0))+(IF(E250&gt;=20,1,0))+(IF(G250="No",1,0))+(IF(H250="Yes",1,0))+(IF(I250="Yes",1,0)))</f>
        <v/>
      </c>
      <c r="K250" s="7" t="str">
        <f aca="false">IF(A250="","",IF(J250&gt;=3,"MOVE TO PIPELINE","Keep looking"))</f>
        <v/>
      </c>
      <c r="L250" s="7"/>
    </row>
    <row r="251" customFormat="false" ht="15" hidden="false" customHeight="fals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10" t="str">
        <f aca="false">IF(A251="","",(IF(D251&gt;=4,1,0))+(IF(E251&gt;=20,1,0))+(IF(G251="No",1,0))+(IF(H251="Yes",1,0))+(IF(I251="Yes",1,0)))</f>
        <v/>
      </c>
      <c r="K251" s="7" t="str">
        <f aca="false">IF(A251="","",IF(J251&gt;=3,"MOVE TO PIPELINE","Keep looking"))</f>
        <v/>
      </c>
      <c r="L251" s="7"/>
    </row>
    <row r="252" customFormat="false" ht="15" hidden="false" customHeight="fals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10" t="str">
        <f aca="false">IF(A252="","",(IF(D252&gt;=4,1,0))+(IF(E252&gt;=20,1,0))+(IF(G252="No",1,0))+(IF(H252="Yes",1,0))+(IF(I252="Yes",1,0)))</f>
        <v/>
      </c>
      <c r="K252" s="7" t="str">
        <f aca="false">IF(A252="","",IF(J252&gt;=3,"MOVE TO PIPELINE","Keep looking"))</f>
        <v/>
      </c>
      <c r="L252" s="7"/>
    </row>
    <row r="253" customFormat="false" ht="15" hidden="false" customHeight="fals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10" t="str">
        <f aca="false">IF(A253="","",(IF(D253&gt;=4,1,0))+(IF(E253&gt;=20,1,0))+(IF(G253="No",1,0))+(IF(H253="Yes",1,0))+(IF(I253="Yes",1,0)))</f>
        <v/>
      </c>
      <c r="K253" s="7" t="str">
        <f aca="false">IF(A253="","",IF(J253&gt;=3,"MOVE TO PIPELINE","Keep looking"))</f>
        <v/>
      </c>
      <c r="L253" s="7"/>
    </row>
    <row r="254" customFormat="false" ht="15" hidden="false" customHeight="fals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10" t="str">
        <f aca="false">IF(A254="","",(IF(D254&gt;=4,1,0))+(IF(E254&gt;=20,1,0))+(IF(G254="No",1,0))+(IF(H254="Yes",1,0))+(IF(I254="Yes",1,0)))</f>
        <v/>
      </c>
      <c r="K254" s="7" t="str">
        <f aca="false">IF(A254="","",IF(J254&gt;=3,"MOVE TO PIPELINE","Keep looking"))</f>
        <v/>
      </c>
      <c r="L254" s="7"/>
    </row>
    <row r="255" customFormat="false" ht="15" hidden="false" customHeight="fals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10" t="str">
        <f aca="false">IF(A255="","",(IF(D255&gt;=4,1,0))+(IF(E255&gt;=20,1,0))+(IF(G255="No",1,0))+(IF(H255="Yes",1,0))+(IF(I255="Yes",1,0)))</f>
        <v/>
      </c>
      <c r="K255" s="7" t="str">
        <f aca="false">IF(A255="","",IF(J255&gt;=3,"MOVE TO PIPELINE","Keep looking"))</f>
        <v/>
      </c>
      <c r="L255" s="7"/>
    </row>
    <row r="256" customFormat="false" ht="15" hidden="false" customHeight="fals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10" t="str">
        <f aca="false">IF(A256="","",(IF(D256&gt;=4,1,0))+(IF(E256&gt;=20,1,0))+(IF(G256="No",1,0))+(IF(H256="Yes",1,0))+(IF(I256="Yes",1,0)))</f>
        <v/>
      </c>
      <c r="K256" s="7" t="str">
        <f aca="false">IF(A256="","",IF(J256&gt;=3,"MOVE TO PIPELINE","Keep looking"))</f>
        <v/>
      </c>
      <c r="L256" s="7"/>
    </row>
    <row r="257" customFormat="false" ht="15" hidden="false" customHeight="fals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10" t="str">
        <f aca="false">IF(A257="","",(IF(D257&gt;=4,1,0))+(IF(E257&gt;=20,1,0))+(IF(G257="No",1,0))+(IF(H257="Yes",1,0))+(IF(I257="Yes",1,0)))</f>
        <v/>
      </c>
      <c r="K257" s="7" t="str">
        <f aca="false">IF(A257="","",IF(J257&gt;=3,"MOVE TO PIPELINE","Keep looking"))</f>
        <v/>
      </c>
      <c r="L257" s="7"/>
    </row>
    <row r="258" customFormat="false" ht="15" hidden="false" customHeight="fals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10" t="str">
        <f aca="false">IF(A258="","",(IF(D258&gt;=4,1,0))+(IF(E258&gt;=20,1,0))+(IF(G258="No",1,0))+(IF(H258="Yes",1,0))+(IF(I258="Yes",1,0)))</f>
        <v/>
      </c>
      <c r="K258" s="7" t="str">
        <f aca="false">IF(A258="","",IF(J258&gt;=3,"MOVE TO PIPELINE","Keep looking"))</f>
        <v/>
      </c>
      <c r="L258" s="7"/>
    </row>
    <row r="259" customFormat="false" ht="15" hidden="false" customHeight="fals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10" t="str">
        <f aca="false">IF(A259="","",(IF(D259&gt;=4,1,0))+(IF(E259&gt;=20,1,0))+(IF(G259="No",1,0))+(IF(H259="Yes",1,0))+(IF(I259="Yes",1,0)))</f>
        <v/>
      </c>
      <c r="K259" s="7" t="str">
        <f aca="false">IF(A259="","",IF(J259&gt;=3,"MOVE TO PIPELINE","Keep looking"))</f>
        <v/>
      </c>
      <c r="L259" s="7"/>
    </row>
    <row r="260" customFormat="false" ht="15" hidden="false" customHeight="fals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10" t="str">
        <f aca="false">IF(A260="","",(IF(D260&gt;=4,1,0))+(IF(E260&gt;=20,1,0))+(IF(G260="No",1,0))+(IF(H260="Yes",1,0))+(IF(I260="Yes",1,0)))</f>
        <v/>
      </c>
      <c r="K260" s="7" t="str">
        <f aca="false">IF(A260="","",IF(J260&gt;=3,"MOVE TO PIPELINE","Keep looking"))</f>
        <v/>
      </c>
      <c r="L260" s="7"/>
    </row>
    <row r="261" customFormat="false" ht="15" hidden="false" customHeight="fals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10" t="str">
        <f aca="false">IF(A261="","",(IF(D261&gt;=4,1,0))+(IF(E261&gt;=20,1,0))+(IF(G261="No",1,0))+(IF(H261="Yes",1,0))+(IF(I261="Yes",1,0)))</f>
        <v/>
      </c>
      <c r="K261" s="7" t="str">
        <f aca="false">IF(A261="","",IF(J261&gt;=3,"MOVE TO PIPELINE","Keep looking"))</f>
        <v/>
      </c>
      <c r="L261" s="7"/>
    </row>
    <row r="262" customFormat="false" ht="15" hidden="false" customHeight="fals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10" t="str">
        <f aca="false">IF(A262="","",(IF(D262&gt;=4,1,0))+(IF(E262&gt;=20,1,0))+(IF(G262="No",1,0))+(IF(H262="Yes",1,0))+(IF(I262="Yes",1,0)))</f>
        <v/>
      </c>
      <c r="K262" s="7" t="str">
        <f aca="false">IF(A262="","",IF(J262&gt;=3,"MOVE TO PIPELINE","Keep looking"))</f>
        <v/>
      </c>
      <c r="L262" s="7"/>
    </row>
    <row r="263" customFormat="false" ht="15" hidden="false" customHeight="fals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10" t="str">
        <f aca="false">IF(A263="","",(IF(D263&gt;=4,1,0))+(IF(E263&gt;=20,1,0))+(IF(G263="No",1,0))+(IF(H263="Yes",1,0))+(IF(I263="Yes",1,0)))</f>
        <v/>
      </c>
      <c r="K263" s="7" t="str">
        <f aca="false">IF(A263="","",IF(J263&gt;=3,"MOVE TO PIPELINE","Keep looking"))</f>
        <v/>
      </c>
      <c r="L263" s="7"/>
    </row>
    <row r="264" customFormat="false" ht="15" hidden="false" customHeight="fals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10" t="str">
        <f aca="false">IF(A264="","",(IF(D264&gt;=4,1,0))+(IF(E264&gt;=20,1,0))+(IF(G264="No",1,0))+(IF(H264="Yes",1,0))+(IF(I264="Yes",1,0)))</f>
        <v/>
      </c>
      <c r="K264" s="7" t="str">
        <f aca="false">IF(A264="","",IF(J264&gt;=3,"MOVE TO PIPELINE","Keep looking"))</f>
        <v/>
      </c>
      <c r="L264" s="7"/>
    </row>
    <row r="265" customFormat="false" ht="15" hidden="false" customHeight="fals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10" t="str">
        <f aca="false">IF(A265="","",(IF(D265&gt;=4,1,0))+(IF(E265&gt;=20,1,0))+(IF(G265="No",1,0))+(IF(H265="Yes",1,0))+(IF(I265="Yes",1,0)))</f>
        <v/>
      </c>
      <c r="K265" s="7" t="str">
        <f aca="false">IF(A265="","",IF(J265&gt;=3,"MOVE TO PIPELINE","Keep looking"))</f>
        <v/>
      </c>
      <c r="L265" s="7"/>
    </row>
    <row r="266" customFormat="false" ht="15" hidden="false" customHeight="fals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10" t="str">
        <f aca="false">IF(A266="","",(IF(D266&gt;=4,1,0))+(IF(E266&gt;=20,1,0))+(IF(G266="No",1,0))+(IF(H266="Yes",1,0))+(IF(I266="Yes",1,0)))</f>
        <v/>
      </c>
      <c r="K266" s="7" t="str">
        <f aca="false">IF(A266="","",IF(J266&gt;=3,"MOVE TO PIPELINE","Keep looking"))</f>
        <v/>
      </c>
      <c r="L266" s="7"/>
    </row>
    <row r="267" customFormat="false" ht="15" hidden="false" customHeight="fals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10" t="str">
        <f aca="false">IF(A267="","",(IF(D267&gt;=4,1,0))+(IF(E267&gt;=20,1,0))+(IF(G267="No",1,0))+(IF(H267="Yes",1,0))+(IF(I267="Yes",1,0)))</f>
        <v/>
      </c>
      <c r="K267" s="7" t="str">
        <f aca="false">IF(A267="","",IF(J267&gt;=3,"MOVE TO PIPELINE","Keep looking"))</f>
        <v/>
      </c>
      <c r="L267" s="7"/>
    </row>
    <row r="268" customFormat="false" ht="15" hidden="false" customHeight="fals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10" t="str">
        <f aca="false">IF(A268="","",(IF(D268&gt;=4,1,0))+(IF(E268&gt;=20,1,0))+(IF(G268="No",1,0))+(IF(H268="Yes",1,0))+(IF(I268="Yes",1,0)))</f>
        <v/>
      </c>
      <c r="K268" s="7" t="str">
        <f aca="false">IF(A268="","",IF(J268&gt;=3,"MOVE TO PIPELINE","Keep looking"))</f>
        <v/>
      </c>
      <c r="L268" s="7"/>
    </row>
    <row r="269" customFormat="false" ht="15" hidden="false" customHeight="fals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10" t="str">
        <f aca="false">IF(A269="","",(IF(D269&gt;=4,1,0))+(IF(E269&gt;=20,1,0))+(IF(G269="No",1,0))+(IF(H269="Yes",1,0))+(IF(I269="Yes",1,0)))</f>
        <v/>
      </c>
      <c r="K269" s="7" t="str">
        <f aca="false">IF(A269="","",IF(J269&gt;=3,"MOVE TO PIPELINE","Keep looking"))</f>
        <v/>
      </c>
      <c r="L269" s="7"/>
    </row>
    <row r="270" customFormat="false" ht="15" hidden="false" customHeight="fals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10" t="str">
        <f aca="false">IF(A270="","",(IF(D270&gt;=4,1,0))+(IF(E270&gt;=20,1,0))+(IF(G270="No",1,0))+(IF(H270="Yes",1,0))+(IF(I270="Yes",1,0)))</f>
        <v/>
      </c>
      <c r="K270" s="7" t="str">
        <f aca="false">IF(A270="","",IF(J270&gt;=3,"MOVE TO PIPELINE","Keep looking"))</f>
        <v/>
      </c>
      <c r="L270" s="7"/>
    </row>
    <row r="271" customFormat="false" ht="15" hidden="false" customHeight="fals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10" t="str">
        <f aca="false">IF(A271="","",(IF(D271&gt;=4,1,0))+(IF(E271&gt;=20,1,0))+(IF(G271="No",1,0))+(IF(H271="Yes",1,0))+(IF(I271="Yes",1,0)))</f>
        <v/>
      </c>
      <c r="K271" s="7" t="str">
        <f aca="false">IF(A271="","",IF(J271&gt;=3,"MOVE TO PIPELINE","Keep looking"))</f>
        <v/>
      </c>
      <c r="L271" s="7"/>
    </row>
    <row r="272" customFormat="false" ht="15" hidden="false" customHeight="fals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10" t="str">
        <f aca="false">IF(A272="","",(IF(D272&gt;=4,1,0))+(IF(E272&gt;=20,1,0))+(IF(G272="No",1,0))+(IF(H272="Yes",1,0))+(IF(I272="Yes",1,0)))</f>
        <v/>
      </c>
      <c r="K272" s="7" t="str">
        <f aca="false">IF(A272="","",IF(J272&gt;=3,"MOVE TO PIPELINE","Keep looking"))</f>
        <v/>
      </c>
      <c r="L272" s="7"/>
    </row>
    <row r="273" customFormat="false" ht="15" hidden="false" customHeight="fals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10" t="str">
        <f aca="false">IF(A273="","",(IF(D273&gt;=4,1,0))+(IF(E273&gt;=20,1,0))+(IF(G273="No",1,0))+(IF(H273="Yes",1,0))+(IF(I273="Yes",1,0)))</f>
        <v/>
      </c>
      <c r="K273" s="7" t="str">
        <f aca="false">IF(A273="","",IF(J273&gt;=3,"MOVE TO PIPELINE","Keep looking"))</f>
        <v/>
      </c>
      <c r="L273" s="7"/>
    </row>
    <row r="274" customFormat="false" ht="15" hidden="false" customHeight="fals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10" t="str">
        <f aca="false">IF(A274="","",(IF(D274&gt;=4,1,0))+(IF(E274&gt;=20,1,0))+(IF(G274="No",1,0))+(IF(H274="Yes",1,0))+(IF(I274="Yes",1,0)))</f>
        <v/>
      </c>
      <c r="K274" s="7" t="str">
        <f aca="false">IF(A274="","",IF(J274&gt;=3,"MOVE TO PIPELINE","Keep looking"))</f>
        <v/>
      </c>
      <c r="L274" s="7"/>
    </row>
    <row r="275" customFormat="false" ht="15" hidden="false" customHeight="fals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10" t="str">
        <f aca="false">IF(A275="","",(IF(D275&gt;=4,1,0))+(IF(E275&gt;=20,1,0))+(IF(G275="No",1,0))+(IF(H275="Yes",1,0))+(IF(I275="Yes",1,0)))</f>
        <v/>
      </c>
      <c r="K275" s="7" t="str">
        <f aca="false">IF(A275="","",IF(J275&gt;=3,"MOVE TO PIPELINE","Keep looking"))</f>
        <v/>
      </c>
      <c r="L275" s="7"/>
    </row>
    <row r="276" customFormat="false" ht="15" hidden="false" customHeight="fals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10" t="str">
        <f aca="false">IF(A276="","",(IF(D276&gt;=4,1,0))+(IF(E276&gt;=20,1,0))+(IF(G276="No",1,0))+(IF(H276="Yes",1,0))+(IF(I276="Yes",1,0)))</f>
        <v/>
      </c>
      <c r="K276" s="7" t="str">
        <f aca="false">IF(A276="","",IF(J276&gt;=3,"MOVE TO PIPELINE","Keep looking"))</f>
        <v/>
      </c>
      <c r="L276" s="7"/>
    </row>
    <row r="277" customFormat="false" ht="15" hidden="false" customHeight="fals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10" t="str">
        <f aca="false">IF(A277="","",(IF(D277&gt;=4,1,0))+(IF(E277&gt;=20,1,0))+(IF(G277="No",1,0))+(IF(H277="Yes",1,0))+(IF(I277="Yes",1,0)))</f>
        <v/>
      </c>
      <c r="K277" s="7" t="str">
        <f aca="false">IF(A277="","",IF(J277&gt;=3,"MOVE TO PIPELINE","Keep looking"))</f>
        <v/>
      </c>
      <c r="L277" s="7"/>
    </row>
    <row r="278" customFormat="false" ht="15" hidden="false" customHeight="fals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10" t="str">
        <f aca="false">IF(A278="","",(IF(D278&gt;=4,1,0))+(IF(E278&gt;=20,1,0))+(IF(G278="No",1,0))+(IF(H278="Yes",1,0))+(IF(I278="Yes",1,0)))</f>
        <v/>
      </c>
      <c r="K278" s="7" t="str">
        <f aca="false">IF(A278="","",IF(J278&gt;=3,"MOVE TO PIPELINE","Keep looking"))</f>
        <v/>
      </c>
      <c r="L278" s="7"/>
    </row>
    <row r="279" customFormat="false" ht="15" hidden="false" customHeight="fals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10" t="str">
        <f aca="false">IF(A279="","",(IF(D279&gt;=4,1,0))+(IF(E279&gt;=20,1,0))+(IF(G279="No",1,0))+(IF(H279="Yes",1,0))+(IF(I279="Yes",1,0)))</f>
        <v/>
      </c>
      <c r="K279" s="7" t="str">
        <f aca="false">IF(A279="","",IF(J279&gt;=3,"MOVE TO PIPELINE","Keep looking"))</f>
        <v/>
      </c>
      <c r="L279" s="7"/>
    </row>
    <row r="280" customFormat="false" ht="15" hidden="false" customHeight="fals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10" t="str">
        <f aca="false">IF(A280="","",(IF(D280&gt;=4,1,0))+(IF(E280&gt;=20,1,0))+(IF(G280="No",1,0))+(IF(H280="Yes",1,0))+(IF(I280="Yes",1,0)))</f>
        <v/>
      </c>
      <c r="K280" s="7" t="str">
        <f aca="false">IF(A280="","",IF(J280&gt;=3,"MOVE TO PIPELINE","Keep looking"))</f>
        <v/>
      </c>
      <c r="L280" s="7"/>
    </row>
    <row r="281" customFormat="false" ht="15" hidden="false" customHeight="fals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10" t="str">
        <f aca="false">IF(A281="","",(IF(D281&gt;=4,1,0))+(IF(E281&gt;=20,1,0))+(IF(G281="No",1,0))+(IF(H281="Yes",1,0))+(IF(I281="Yes",1,0)))</f>
        <v/>
      </c>
      <c r="K281" s="7" t="str">
        <f aca="false">IF(A281="","",IF(J281&gt;=3,"MOVE TO PIPELINE","Keep looking"))</f>
        <v/>
      </c>
      <c r="L281" s="7"/>
    </row>
    <row r="282" customFormat="false" ht="15" hidden="false" customHeight="fals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10" t="str">
        <f aca="false">IF(A282="","",(IF(D282&gt;=4,1,0))+(IF(E282&gt;=20,1,0))+(IF(G282="No",1,0))+(IF(H282="Yes",1,0))+(IF(I282="Yes",1,0)))</f>
        <v/>
      </c>
      <c r="K282" s="7" t="str">
        <f aca="false">IF(A282="","",IF(J282&gt;=3,"MOVE TO PIPELINE","Keep looking"))</f>
        <v/>
      </c>
      <c r="L282" s="7"/>
    </row>
    <row r="283" customFormat="false" ht="15" hidden="false" customHeight="fals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10" t="str">
        <f aca="false">IF(A283="","",(IF(D283&gt;=4,1,0))+(IF(E283&gt;=20,1,0))+(IF(G283="No",1,0))+(IF(H283="Yes",1,0))+(IF(I283="Yes",1,0)))</f>
        <v/>
      </c>
      <c r="K283" s="7" t="str">
        <f aca="false">IF(A283="","",IF(J283&gt;=3,"MOVE TO PIPELINE","Keep looking"))</f>
        <v/>
      </c>
      <c r="L283" s="7"/>
    </row>
    <row r="284" customFormat="false" ht="15" hidden="false" customHeight="fals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10" t="str">
        <f aca="false">IF(A284="","",(IF(D284&gt;=4,1,0))+(IF(E284&gt;=20,1,0))+(IF(G284="No",1,0))+(IF(H284="Yes",1,0))+(IF(I284="Yes",1,0)))</f>
        <v/>
      </c>
      <c r="K284" s="7" t="str">
        <f aca="false">IF(A284="","",IF(J284&gt;=3,"MOVE TO PIPELINE","Keep looking"))</f>
        <v/>
      </c>
      <c r="L284" s="7"/>
    </row>
    <row r="285" customFormat="false" ht="15" hidden="false" customHeight="fals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10" t="str">
        <f aca="false">IF(A285="","",(IF(D285&gt;=4,1,0))+(IF(E285&gt;=20,1,0))+(IF(G285="No",1,0))+(IF(H285="Yes",1,0))+(IF(I285="Yes",1,0)))</f>
        <v/>
      </c>
      <c r="K285" s="7" t="str">
        <f aca="false">IF(A285="","",IF(J285&gt;=3,"MOVE TO PIPELINE","Keep looking"))</f>
        <v/>
      </c>
      <c r="L285" s="7"/>
    </row>
    <row r="286" customFormat="false" ht="15" hidden="false" customHeight="fals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10" t="str">
        <f aca="false">IF(A286="","",(IF(D286&gt;=4,1,0))+(IF(E286&gt;=20,1,0))+(IF(G286="No",1,0))+(IF(H286="Yes",1,0))+(IF(I286="Yes",1,0)))</f>
        <v/>
      </c>
      <c r="K286" s="7" t="str">
        <f aca="false">IF(A286="","",IF(J286&gt;=3,"MOVE TO PIPELINE","Keep looking"))</f>
        <v/>
      </c>
      <c r="L286" s="7"/>
    </row>
    <row r="287" customFormat="false" ht="15" hidden="false" customHeight="fals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10" t="str">
        <f aca="false">IF(A287="","",(IF(D287&gt;=4,1,0))+(IF(E287&gt;=20,1,0))+(IF(G287="No",1,0))+(IF(H287="Yes",1,0))+(IF(I287="Yes",1,0)))</f>
        <v/>
      </c>
      <c r="K287" s="7" t="str">
        <f aca="false">IF(A287="","",IF(J287&gt;=3,"MOVE TO PIPELINE","Keep looking"))</f>
        <v/>
      </c>
      <c r="L287" s="7"/>
    </row>
    <row r="288" customFormat="false" ht="15" hidden="false" customHeight="fals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10" t="str">
        <f aca="false">IF(A288="","",(IF(D288&gt;=4,1,0))+(IF(E288&gt;=20,1,0))+(IF(G288="No",1,0))+(IF(H288="Yes",1,0))+(IF(I288="Yes",1,0)))</f>
        <v/>
      </c>
      <c r="K288" s="7" t="str">
        <f aca="false">IF(A288="","",IF(J288&gt;=3,"MOVE TO PIPELINE","Keep looking"))</f>
        <v/>
      </c>
      <c r="L288" s="7"/>
    </row>
    <row r="289" customFormat="false" ht="15" hidden="false" customHeight="fals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10" t="str">
        <f aca="false">IF(A289="","",(IF(D289&gt;=4,1,0))+(IF(E289&gt;=20,1,0))+(IF(G289="No",1,0))+(IF(H289="Yes",1,0))+(IF(I289="Yes",1,0)))</f>
        <v/>
      </c>
      <c r="K289" s="7" t="str">
        <f aca="false">IF(A289="","",IF(J289&gt;=3,"MOVE TO PIPELINE","Keep looking"))</f>
        <v/>
      </c>
      <c r="L289" s="7"/>
    </row>
    <row r="290" customFormat="false" ht="15" hidden="false" customHeight="fals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10" t="str">
        <f aca="false">IF(A290="","",(IF(D290&gt;=4,1,0))+(IF(E290&gt;=20,1,0))+(IF(G290="No",1,0))+(IF(H290="Yes",1,0))+(IF(I290="Yes",1,0)))</f>
        <v/>
      </c>
      <c r="K290" s="7" t="str">
        <f aca="false">IF(A290="","",IF(J290&gt;=3,"MOVE TO PIPELINE","Keep looking"))</f>
        <v/>
      </c>
      <c r="L290" s="7"/>
    </row>
    <row r="291" customFormat="false" ht="15" hidden="false" customHeight="fals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10" t="str">
        <f aca="false">IF(A291="","",(IF(D291&gt;=4,1,0))+(IF(E291&gt;=20,1,0))+(IF(G291="No",1,0))+(IF(H291="Yes",1,0))+(IF(I291="Yes",1,0)))</f>
        <v/>
      </c>
      <c r="K291" s="7" t="str">
        <f aca="false">IF(A291="","",IF(J291&gt;=3,"MOVE TO PIPELINE","Keep looking"))</f>
        <v/>
      </c>
      <c r="L291" s="7"/>
    </row>
    <row r="292" customFormat="false" ht="15" hidden="false" customHeight="fals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10" t="str">
        <f aca="false">IF(A292="","",(IF(D292&gt;=4,1,0))+(IF(E292&gt;=20,1,0))+(IF(G292="No",1,0))+(IF(H292="Yes",1,0))+(IF(I292="Yes",1,0)))</f>
        <v/>
      </c>
      <c r="K292" s="7" t="str">
        <f aca="false">IF(A292="","",IF(J292&gt;=3,"MOVE TO PIPELINE","Keep looking"))</f>
        <v/>
      </c>
      <c r="L292" s="7"/>
    </row>
    <row r="293" customFormat="false" ht="15" hidden="false" customHeight="fals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10" t="str">
        <f aca="false">IF(A293="","",(IF(D293&gt;=4,1,0))+(IF(E293&gt;=20,1,0))+(IF(G293="No",1,0))+(IF(H293="Yes",1,0))+(IF(I293="Yes",1,0)))</f>
        <v/>
      </c>
      <c r="K293" s="7" t="str">
        <f aca="false">IF(A293="","",IF(J293&gt;=3,"MOVE TO PIPELINE","Keep looking"))</f>
        <v/>
      </c>
      <c r="L293" s="7"/>
    </row>
    <row r="294" customFormat="false" ht="15" hidden="false" customHeight="fals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10" t="str">
        <f aca="false">IF(A294="","",(IF(D294&gt;=4,1,0))+(IF(E294&gt;=20,1,0))+(IF(G294="No",1,0))+(IF(H294="Yes",1,0))+(IF(I294="Yes",1,0)))</f>
        <v/>
      </c>
      <c r="K294" s="7" t="str">
        <f aca="false">IF(A294="","",IF(J294&gt;=3,"MOVE TO PIPELINE","Keep looking"))</f>
        <v/>
      </c>
      <c r="L294" s="7"/>
    </row>
    <row r="295" customFormat="false" ht="15" hidden="false" customHeight="fals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10" t="str">
        <f aca="false">IF(A295="","",(IF(D295&gt;=4,1,0))+(IF(E295&gt;=20,1,0))+(IF(G295="No",1,0))+(IF(H295="Yes",1,0))+(IF(I295="Yes",1,0)))</f>
        <v/>
      </c>
      <c r="K295" s="7" t="str">
        <f aca="false">IF(A295="","",IF(J295&gt;=3,"MOVE TO PIPELINE","Keep looking"))</f>
        <v/>
      </c>
      <c r="L295" s="7"/>
    </row>
    <row r="296" customFormat="false" ht="15" hidden="false" customHeight="fals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10" t="str">
        <f aca="false">IF(A296="","",(IF(D296&gt;=4,1,0))+(IF(E296&gt;=20,1,0))+(IF(G296="No",1,0))+(IF(H296="Yes",1,0))+(IF(I296="Yes",1,0)))</f>
        <v/>
      </c>
      <c r="K296" s="7" t="str">
        <f aca="false">IF(A296="","",IF(J296&gt;=3,"MOVE TO PIPELINE","Keep looking"))</f>
        <v/>
      </c>
      <c r="L296" s="7"/>
    </row>
    <row r="297" customFormat="false" ht="15" hidden="false" customHeight="fals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10" t="str">
        <f aca="false">IF(A297="","",(IF(D297&gt;=4,1,0))+(IF(E297&gt;=20,1,0))+(IF(G297="No",1,0))+(IF(H297="Yes",1,0))+(IF(I297="Yes",1,0)))</f>
        <v/>
      </c>
      <c r="K297" s="7" t="str">
        <f aca="false">IF(A297="","",IF(J297&gt;=3,"MOVE TO PIPELINE","Keep looking"))</f>
        <v/>
      </c>
      <c r="L297" s="7"/>
    </row>
    <row r="298" customFormat="false" ht="15" hidden="false" customHeight="fals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10" t="str">
        <f aca="false">IF(A298="","",(IF(D298&gt;=4,1,0))+(IF(E298&gt;=20,1,0))+(IF(G298="No",1,0))+(IF(H298="Yes",1,0))+(IF(I298="Yes",1,0)))</f>
        <v/>
      </c>
      <c r="K298" s="7" t="str">
        <f aca="false">IF(A298="","",IF(J298&gt;=3,"MOVE TO PIPELINE","Keep looking"))</f>
        <v/>
      </c>
      <c r="L298" s="7"/>
    </row>
    <row r="299" customFormat="false" ht="15" hidden="false" customHeight="fals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10" t="str">
        <f aca="false">IF(A299="","",(IF(D299&gt;=4,1,0))+(IF(E299&gt;=20,1,0))+(IF(G299="No",1,0))+(IF(H299="Yes",1,0))+(IF(I299="Yes",1,0)))</f>
        <v/>
      </c>
      <c r="K299" s="7" t="str">
        <f aca="false">IF(A299="","",IF(J299&gt;=3,"MOVE TO PIPELINE","Keep looking"))</f>
        <v/>
      </c>
      <c r="L299" s="7"/>
    </row>
    <row r="300" customFormat="false" ht="15" hidden="false" customHeight="fals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10" t="str">
        <f aca="false">IF(A300="","",(IF(D300&gt;=4,1,0))+(IF(E300&gt;=20,1,0))+(IF(G300="No",1,0))+(IF(H300="Yes",1,0))+(IF(I300="Yes",1,0)))</f>
        <v/>
      </c>
      <c r="K300" s="7" t="str">
        <f aca="false">IF(A300="","",IF(J300&gt;=3,"MOVE TO PIPELINE","Keep looking"))</f>
        <v/>
      </c>
      <c r="L300" s="7"/>
    </row>
    <row r="301" customFormat="false" ht="15" hidden="false" customHeight="fals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10" t="str">
        <f aca="false">IF(A301="","",(IF(D301&gt;=4,1,0))+(IF(E301&gt;=20,1,0))+(IF(G301="No",1,0))+(IF(H301="Yes",1,0))+(IF(I301="Yes",1,0)))</f>
        <v/>
      </c>
      <c r="K301" s="7" t="str">
        <f aca="false">IF(A301="","",IF(J301&gt;=3,"MOVE TO PIPELINE","Keep looking"))</f>
        <v/>
      </c>
      <c r="L301" s="7"/>
    </row>
    <row r="302" customFormat="false" ht="15" hidden="false" customHeight="fals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10" t="str">
        <f aca="false">IF(A302="","",(IF(D302&gt;=4,1,0))+(IF(E302&gt;=20,1,0))+(IF(G302="No",1,0))+(IF(H302="Yes",1,0))+(IF(I302="Yes",1,0)))</f>
        <v/>
      </c>
      <c r="K302" s="7" t="str">
        <f aca="false">IF(A302="","",IF(J302&gt;=3,"MOVE TO PIPELINE","Keep looking"))</f>
        <v/>
      </c>
      <c r="L302" s="7"/>
    </row>
    <row r="303" customFormat="false" ht="15" hidden="false" customHeight="fals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10" t="str">
        <f aca="false">IF(A303="","",(IF(D303&gt;=4,1,0))+(IF(E303&gt;=20,1,0))+(IF(G303="No",1,0))+(IF(H303="Yes",1,0))+(IF(I303="Yes",1,0)))</f>
        <v/>
      </c>
      <c r="K303" s="7" t="str">
        <f aca="false">IF(A303="","",IF(J303&gt;=3,"MOVE TO PIPELINE","Keep looking"))</f>
        <v/>
      </c>
      <c r="L303" s="7"/>
    </row>
    <row r="304" customFormat="false" ht="15" hidden="false" customHeight="fals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10" t="str">
        <f aca="false">IF(A304="","",(IF(D304&gt;=4,1,0))+(IF(E304&gt;=20,1,0))+(IF(G304="No",1,0))+(IF(H304="Yes",1,0))+(IF(I304="Yes",1,0)))</f>
        <v/>
      </c>
      <c r="K304" s="7" t="str">
        <f aca="false">IF(A304="","",IF(J304&gt;=3,"MOVE TO PIPELINE","Keep looking"))</f>
        <v/>
      </c>
      <c r="L304" s="7"/>
    </row>
  </sheetData>
  <dataValidations count="1">
    <dataValidation allowBlank="true" errorStyle="stop" operator="between" showDropDown="false" showErrorMessage="false" showInputMessage="false" sqref="G5:I3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24" hidden="false" customHeight="true" outlineLevel="0" collapsed="false">
      <c r="A1" s="1" t="s">
        <v>7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B4" s="11" t="s">
        <v>83</v>
      </c>
    </row>
    <row r="5" customFormat="false" ht="15" hidden="false" customHeight="false" outlineLevel="0" collapsed="false">
      <c r="B5" s="12" t="s">
        <v>84</v>
      </c>
      <c r="C5" s="13" t="n">
        <v>44999</v>
      </c>
      <c r="D5" s="2" t="s">
        <v>85</v>
      </c>
    </row>
    <row r="6" customFormat="false" ht="15" hidden="false" customHeight="false" outlineLevel="0" collapsed="false">
      <c r="B6" s="12" t="s">
        <v>86</v>
      </c>
      <c r="C6" s="13" t="n">
        <v>2499</v>
      </c>
      <c r="D6" s="2" t="s">
        <v>85</v>
      </c>
    </row>
    <row r="7" customFormat="false" ht="15" hidden="false" customHeight="false" outlineLevel="0" collapsed="false">
      <c r="B7" s="12" t="s">
        <v>87</v>
      </c>
      <c r="C7" s="14" t="n">
        <v>0</v>
      </c>
      <c r="D7" s="2" t="s">
        <v>88</v>
      </c>
    </row>
    <row r="8" customFormat="false" ht="15" hidden="false" customHeight="false" outlineLevel="0" collapsed="false">
      <c r="B8" s="12" t="s">
        <v>89</v>
      </c>
      <c r="C8" s="15" t="n">
        <v>0</v>
      </c>
      <c r="D8" s="2" t="s">
        <v>90</v>
      </c>
    </row>
    <row r="9" customFormat="false" ht="15" hidden="false" customHeight="false" outlineLevel="0" collapsed="false">
      <c r="B9" s="12" t="s">
        <v>91</v>
      </c>
      <c r="C9" s="15" t="n">
        <v>12</v>
      </c>
    </row>
    <row r="11" customFormat="false" ht="15" hidden="false" customHeight="false" outlineLevel="0" collapsed="false">
      <c r="B11" s="11" t="s">
        <v>92</v>
      </c>
    </row>
    <row r="12" customFormat="false" ht="15" hidden="false" customHeight="false" outlineLevel="0" collapsed="false">
      <c r="B12" s="12" t="s">
        <v>93</v>
      </c>
      <c r="C12" s="16" t="n">
        <f aca="false">C5*(1-C7)</f>
        <v>44999</v>
      </c>
    </row>
    <row r="13" customFormat="false" ht="15" hidden="false" customHeight="false" outlineLevel="0" collapsed="false">
      <c r="B13" s="12" t="s">
        <v>94</v>
      </c>
      <c r="C13" s="17" t="n">
        <f aca="false">IF(C8=1,10,C9)</f>
        <v>12</v>
      </c>
      <c r="D13" s="2" t="s">
        <v>95</v>
      </c>
    </row>
    <row r="14" customFormat="false" ht="15" hidden="false" customHeight="false" outlineLevel="0" collapsed="false">
      <c r="B14" s="12" t="s">
        <v>96</v>
      </c>
      <c r="C14" s="16" t="n">
        <f aca="false">C6*C13</f>
        <v>29988</v>
      </c>
    </row>
    <row r="15" customFormat="false" ht="15" hidden="false" customHeight="false" outlineLevel="0" collapsed="false">
      <c r="B15" s="18" t="s">
        <v>97</v>
      </c>
      <c r="C15" s="19" t="n">
        <f aca="false">C12+C14</f>
        <v>74987</v>
      </c>
    </row>
    <row r="17" customFormat="false" ht="15" hidden="false" customHeight="false" outlineLevel="0" collapsed="false">
      <c r="B17" s="11" t="s">
        <v>98</v>
      </c>
    </row>
    <row r="18" customFormat="false" ht="15" hidden="false" customHeight="false" outlineLevel="0" collapsed="false">
      <c r="B18" s="12" t="s">
        <v>99</v>
      </c>
      <c r="C18" s="13" t="n">
        <v>200</v>
      </c>
      <c r="D18" s="2" t="s">
        <v>100</v>
      </c>
    </row>
    <row r="19" customFormat="false" ht="15" hidden="false" customHeight="false" outlineLevel="0" collapsed="false">
      <c r="B19" s="12" t="s">
        <v>101</v>
      </c>
      <c r="C19" s="13" t="n">
        <v>1200</v>
      </c>
      <c r="D19" s="2" t="s">
        <v>102</v>
      </c>
    </row>
    <row r="20" customFormat="false" ht="15" hidden="false" customHeight="false" outlineLevel="0" collapsed="false">
      <c r="B20" s="12" t="s">
        <v>103</v>
      </c>
      <c r="C20" s="15" t="n">
        <v>14</v>
      </c>
      <c r="D20" s="2" t="s">
        <v>104</v>
      </c>
    </row>
    <row r="21" customFormat="false" ht="15" hidden="false" customHeight="false" outlineLevel="0" collapsed="false">
      <c r="B21" s="12" t="s">
        <v>105</v>
      </c>
      <c r="C21" s="13" t="n">
        <v>1500</v>
      </c>
      <c r="D21" s="2" t="s">
        <v>106</v>
      </c>
    </row>
    <row r="22" customFormat="false" ht="15" hidden="false" customHeight="false" outlineLevel="0" collapsed="false">
      <c r="B22" s="12" t="s">
        <v>107</v>
      </c>
      <c r="C22" s="20" t="n">
        <v>0.5</v>
      </c>
      <c r="D22" s="2" t="s">
        <v>108</v>
      </c>
    </row>
    <row r="24" customFormat="false" ht="15" hidden="false" customHeight="false" outlineLevel="0" collapsed="false">
      <c r="B24" s="12" t="s">
        <v>109</v>
      </c>
      <c r="C24" s="16" t="n">
        <f aca="false">C20*C21</f>
        <v>21000</v>
      </c>
    </row>
    <row r="25" customFormat="false" ht="15" hidden="false" customHeight="false" outlineLevel="0" collapsed="false">
      <c r="B25" s="12" t="s">
        <v>110</v>
      </c>
      <c r="C25" s="16" t="n">
        <f aca="false">C18*C9</f>
        <v>2400</v>
      </c>
    </row>
    <row r="26" customFormat="false" ht="15" hidden="false" customHeight="false" outlineLevel="0" collapsed="false">
      <c r="B26" s="12" t="s">
        <v>111</v>
      </c>
      <c r="C26" s="16" t="n">
        <f aca="false">C22*C21*C9</f>
        <v>9000</v>
      </c>
    </row>
    <row r="27" customFormat="false" ht="15" hidden="false" customHeight="false" outlineLevel="0" collapsed="false">
      <c r="B27" s="18" t="s">
        <v>112</v>
      </c>
      <c r="C27" s="21" t="n">
        <f aca="false">C24+C25+C26+C19</f>
        <v>33600</v>
      </c>
    </row>
    <row r="29" customFormat="false" ht="15" hidden="false" customHeight="false" outlineLevel="0" collapsed="false">
      <c r="B29" s="11" t="s">
        <v>113</v>
      </c>
    </row>
    <row r="30" customFormat="false" ht="15" hidden="false" customHeight="false" outlineLevel="0" collapsed="false">
      <c r="B30" s="12" t="s">
        <v>114</v>
      </c>
      <c r="C30" s="22" t="n">
        <f aca="false">C15-C27</f>
        <v>41387</v>
      </c>
    </row>
    <row r="31" customFormat="false" ht="15" hidden="false" customHeight="false" outlineLevel="0" collapsed="false">
      <c r="B31" s="12" t="s">
        <v>115</v>
      </c>
      <c r="C31" s="23" t="n">
        <f aca="false">IFERROR(C30/C15,0)</f>
        <v>0.551922333204422</v>
      </c>
      <c r="D31" s="2" t="s">
        <v>116</v>
      </c>
    </row>
    <row r="32" customFormat="false" ht="15" hidden="false" customHeight="false" outlineLevel="0" collapsed="false">
      <c r="B32" s="12" t="s">
        <v>117</v>
      </c>
      <c r="C32" s="22" t="n">
        <f aca="false">IFERROR(C30/(C20+C22*C9),0)</f>
        <v>2069.35</v>
      </c>
      <c r="D32" s="2" t="s">
        <v>118</v>
      </c>
    </row>
    <row r="33" customFormat="false" ht="15" hidden="false" customHeight="false" outlineLevel="0" collapsed="false">
      <c r="B33" s="12" t="s">
        <v>119</v>
      </c>
      <c r="C33" s="24" t="n">
        <f aca="false">IFERROR((C24-C12)/C6,0)</f>
        <v>-9.60344137655062</v>
      </c>
      <c r="D33" s="2" t="s">
        <v>120</v>
      </c>
    </row>
    <row r="35" customFormat="false" ht="15" hidden="false" customHeight="false" outlineLevel="0" collapsed="false">
      <c r="B35" s="11" t="s">
        <v>121</v>
      </c>
    </row>
    <row r="36" customFormat="false" ht="15" hidden="false" customHeight="false" outlineLevel="0" collapsed="false">
      <c r="B36" s="12" t="s">
        <v>122</v>
      </c>
      <c r="C36" s="16" t="n">
        <f aca="false">C6</f>
        <v>2499</v>
      </c>
    </row>
    <row r="37" customFormat="false" ht="15" hidden="false" customHeight="false" outlineLevel="0" collapsed="false">
      <c r="B37" s="12" t="s">
        <v>123</v>
      </c>
      <c r="C37" s="16" t="n">
        <f aca="false">C18+(C22*C21)</f>
        <v>950</v>
      </c>
      <c r="D37" s="2" t="s">
        <v>124</v>
      </c>
    </row>
    <row r="38" customFormat="false" ht="15" hidden="false" customHeight="false" outlineLevel="0" collapsed="false">
      <c r="B38" s="12" t="s">
        <v>125</v>
      </c>
      <c r="C38" s="22" t="n">
        <f aca="false">C36-C37</f>
        <v>1549</v>
      </c>
    </row>
    <row r="39" customFormat="false" ht="15" hidden="false" customHeight="false" outlineLevel="0" collapsed="false">
      <c r="B39" s="12" t="s">
        <v>126</v>
      </c>
      <c r="C39" s="23" t="n">
        <f aca="false">IFERROR(C38/C36,0)</f>
        <v>0.61984793917567</v>
      </c>
      <c r="D39" s="2" t="s">
        <v>127</v>
      </c>
    </row>
    <row r="41" customFormat="false" ht="15" hidden="false" customHeight="false" outlineLevel="0" collapsed="false">
      <c r="B41" s="2" t="s">
        <v>128</v>
      </c>
    </row>
    <row r="42" customFormat="false" ht="15" hidden="false" customHeight="false" outlineLevel="0" collapsed="false">
      <c r="B42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16" min="4" style="0" width="12"/>
  </cols>
  <sheetData>
    <row r="1" customFormat="false" ht="24" hidden="false" customHeight="tru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B4" s="11" t="s">
        <v>132</v>
      </c>
    </row>
    <row r="5" customFormat="false" ht="15" hidden="false" customHeight="false" outlineLevel="0" collapsed="false">
      <c r="B5" s="12" t="s">
        <v>133</v>
      </c>
      <c r="C5" s="15" t="n">
        <v>2</v>
      </c>
    </row>
    <row r="6" customFormat="false" ht="15" hidden="false" customHeight="false" outlineLevel="0" collapsed="false">
      <c r="B6" s="12" t="s">
        <v>134</v>
      </c>
      <c r="C6" s="13" t="n">
        <v>44999</v>
      </c>
    </row>
    <row r="7" customFormat="false" ht="15" hidden="false" customHeight="false" outlineLevel="0" collapsed="false">
      <c r="B7" s="12" t="s">
        <v>135</v>
      </c>
      <c r="C7" s="13" t="n">
        <v>2499</v>
      </c>
    </row>
    <row r="8" customFormat="false" ht="15" hidden="false" customHeight="false" outlineLevel="0" collapsed="false">
      <c r="B8" s="12" t="s">
        <v>136</v>
      </c>
      <c r="C8" s="14" t="n">
        <v>0.03</v>
      </c>
    </row>
    <row r="9" customFormat="false" ht="15" hidden="false" customHeight="false" outlineLevel="0" collapsed="false">
      <c r="B9" s="12" t="s">
        <v>137</v>
      </c>
      <c r="C9" s="13" t="n">
        <v>200</v>
      </c>
    </row>
    <row r="12" customFormat="false" ht="15" hidden="false" customHeight="false" outlineLevel="0" collapsed="false">
      <c r="B12" s="25" t="s">
        <v>138</v>
      </c>
      <c r="C12" s="26" t="s">
        <v>139</v>
      </c>
      <c r="D12" s="26" t="s">
        <v>140</v>
      </c>
      <c r="E12" s="26" t="s">
        <v>141</v>
      </c>
      <c r="F12" s="26" t="s">
        <v>142</v>
      </c>
      <c r="G12" s="26" t="s">
        <v>143</v>
      </c>
      <c r="H12" s="26" t="s">
        <v>144</v>
      </c>
      <c r="I12" s="26" t="s">
        <v>145</v>
      </c>
      <c r="J12" s="26" t="s">
        <v>146</v>
      </c>
      <c r="K12" s="26" t="s">
        <v>147</v>
      </c>
      <c r="L12" s="26" t="s">
        <v>148</v>
      </c>
      <c r="M12" s="26" t="s">
        <v>149</v>
      </c>
      <c r="N12" s="26" t="s">
        <v>150</v>
      </c>
    </row>
    <row r="13" customFormat="false" ht="15" hidden="false" customHeight="false" outlineLevel="0" collapsed="false">
      <c r="B13" s="25" t="s">
        <v>151</v>
      </c>
      <c r="C13" s="24" t="n">
        <f aca="false">$C$5</f>
        <v>2</v>
      </c>
      <c r="D13" s="24" t="n">
        <f aca="false">$C$5</f>
        <v>2</v>
      </c>
      <c r="E13" s="24" t="n">
        <f aca="false">$C$5</f>
        <v>2</v>
      </c>
      <c r="F13" s="24" t="n">
        <f aca="false">$C$5</f>
        <v>2</v>
      </c>
      <c r="G13" s="24" t="n">
        <f aca="false">$C$5</f>
        <v>2</v>
      </c>
      <c r="H13" s="24" t="n">
        <f aca="false">$C$5</f>
        <v>2</v>
      </c>
      <c r="I13" s="24" t="n">
        <f aca="false">$C$5</f>
        <v>2</v>
      </c>
      <c r="J13" s="24" t="n">
        <f aca="false">$C$5</f>
        <v>2</v>
      </c>
      <c r="K13" s="24" t="n">
        <f aca="false">$C$5</f>
        <v>2</v>
      </c>
      <c r="L13" s="24" t="n">
        <f aca="false">$C$5</f>
        <v>2</v>
      </c>
      <c r="M13" s="24" t="n">
        <f aca="false">$C$5</f>
        <v>2</v>
      </c>
      <c r="N13" s="24" t="n">
        <f aca="false">$C$5</f>
        <v>2</v>
      </c>
    </row>
    <row r="14" customFormat="false" ht="15" hidden="false" customHeight="false" outlineLevel="0" collapsed="false">
      <c r="B14" s="25" t="s">
        <v>152</v>
      </c>
      <c r="C14" s="24" t="n">
        <v>0</v>
      </c>
      <c r="D14" s="24" t="n">
        <f aca="false">ROUND(C15*$C$8,1)</f>
        <v>0.1</v>
      </c>
      <c r="E14" s="24" t="n">
        <f aca="false">ROUND(D15*$C$8,1)</f>
        <v>0.1</v>
      </c>
      <c r="F14" s="24" t="n">
        <f aca="false">ROUND(E15*$C$8,1)</f>
        <v>0.2</v>
      </c>
      <c r="G14" s="24" t="n">
        <f aca="false">ROUND(F15*$C$8,1)</f>
        <v>0.2</v>
      </c>
      <c r="H14" s="24" t="n">
        <f aca="false">ROUND(G15*$C$8,1)</f>
        <v>0.3</v>
      </c>
      <c r="I14" s="24" t="n">
        <f aca="false">ROUND(H15*$C$8,1)</f>
        <v>0.3</v>
      </c>
      <c r="J14" s="24" t="n">
        <f aca="false">ROUND(I15*$C$8,1)</f>
        <v>0.4</v>
      </c>
      <c r="K14" s="24" t="n">
        <f aca="false">ROUND(J15*$C$8,1)</f>
        <v>0.4</v>
      </c>
      <c r="L14" s="24" t="n">
        <f aca="false">ROUND(K15*$C$8,1)</f>
        <v>0.5</v>
      </c>
      <c r="M14" s="24" t="n">
        <f aca="false">ROUND(L15*$C$8,1)</f>
        <v>0.5</v>
      </c>
      <c r="N14" s="24" t="n">
        <f aca="false">ROUND(M15*$C$8,1)</f>
        <v>0.6</v>
      </c>
    </row>
    <row r="15" customFormat="false" ht="15" hidden="false" customHeight="false" outlineLevel="0" collapsed="false">
      <c r="B15" s="25" t="s">
        <v>153</v>
      </c>
      <c r="C15" s="24" t="n">
        <f aca="false">C13</f>
        <v>2</v>
      </c>
      <c r="D15" s="24" t="n">
        <f aca="false">C15+D13-D14</f>
        <v>3.9</v>
      </c>
      <c r="E15" s="24" t="n">
        <f aca="false">D15+E13-E14</f>
        <v>5.8</v>
      </c>
      <c r="F15" s="24" t="n">
        <f aca="false">E15+F13-F14</f>
        <v>7.6</v>
      </c>
      <c r="G15" s="24" t="n">
        <f aca="false">F15+G13-G14</f>
        <v>9.4</v>
      </c>
      <c r="H15" s="24" t="n">
        <f aca="false">G15+H13-H14</f>
        <v>11.1</v>
      </c>
      <c r="I15" s="24" t="n">
        <f aca="false">H15+I13-I14</f>
        <v>12.8</v>
      </c>
      <c r="J15" s="24" t="n">
        <f aca="false">I15+J13-J14</f>
        <v>14.4</v>
      </c>
      <c r="K15" s="24" t="n">
        <f aca="false">J15+K13-K14</f>
        <v>16</v>
      </c>
      <c r="L15" s="24" t="n">
        <f aca="false">K15+L13-L14</f>
        <v>17.5</v>
      </c>
      <c r="M15" s="24" t="n">
        <f aca="false">L15+M13-M14</f>
        <v>19</v>
      </c>
      <c r="N15" s="24" t="n">
        <f aca="false">M15+N13-N14</f>
        <v>20.4</v>
      </c>
    </row>
    <row r="16" customFormat="false" ht="15" hidden="false" customHeight="false" outlineLevel="0" collapsed="false">
      <c r="B16" s="25" t="s">
        <v>154</v>
      </c>
      <c r="C16" s="27" t="n">
        <f aca="false">C13*$C$6</f>
        <v>89998</v>
      </c>
      <c r="D16" s="27" t="n">
        <f aca="false">D13*$C$6</f>
        <v>89998</v>
      </c>
      <c r="E16" s="27" t="n">
        <f aca="false">E13*$C$6</f>
        <v>89998</v>
      </c>
      <c r="F16" s="27" t="n">
        <f aca="false">F13*$C$6</f>
        <v>89998</v>
      </c>
      <c r="G16" s="27" t="n">
        <f aca="false">G13*$C$6</f>
        <v>89998</v>
      </c>
      <c r="H16" s="27" t="n">
        <f aca="false">H13*$C$6</f>
        <v>89998</v>
      </c>
      <c r="I16" s="27" t="n">
        <f aca="false">I13*$C$6</f>
        <v>89998</v>
      </c>
      <c r="J16" s="27" t="n">
        <f aca="false">J13*$C$6</f>
        <v>89998</v>
      </c>
      <c r="K16" s="27" t="n">
        <f aca="false">K13*$C$6</f>
        <v>89998</v>
      </c>
      <c r="L16" s="27" t="n">
        <f aca="false">L13*$C$6</f>
        <v>89998</v>
      </c>
      <c r="M16" s="27" t="n">
        <f aca="false">M13*$C$6</f>
        <v>89998</v>
      </c>
      <c r="N16" s="27" t="n">
        <f aca="false">N13*$C$6</f>
        <v>89998</v>
      </c>
    </row>
    <row r="17" customFormat="false" ht="15" hidden="false" customHeight="false" outlineLevel="0" collapsed="false">
      <c r="B17" s="25" t="s">
        <v>155</v>
      </c>
      <c r="C17" s="27" t="n">
        <f aca="false">C15*$C$7</f>
        <v>4998</v>
      </c>
      <c r="D17" s="27" t="n">
        <f aca="false">D15*$C$7</f>
        <v>9746.1</v>
      </c>
      <c r="E17" s="27" t="n">
        <f aca="false">E15*$C$7</f>
        <v>14494.2</v>
      </c>
      <c r="F17" s="27" t="n">
        <f aca="false">F15*$C$7</f>
        <v>18992.4</v>
      </c>
      <c r="G17" s="27" t="n">
        <f aca="false">G15*$C$7</f>
        <v>23490.6</v>
      </c>
      <c r="H17" s="27" t="n">
        <f aca="false">H15*$C$7</f>
        <v>27738.9</v>
      </c>
      <c r="I17" s="27" t="n">
        <f aca="false">I15*$C$7</f>
        <v>31987.2</v>
      </c>
      <c r="J17" s="27" t="n">
        <f aca="false">J15*$C$7</f>
        <v>35985.6</v>
      </c>
      <c r="K17" s="27" t="n">
        <f aca="false">K15*$C$7</f>
        <v>39984</v>
      </c>
      <c r="L17" s="27" t="n">
        <f aca="false">L15*$C$7</f>
        <v>43732.5</v>
      </c>
      <c r="M17" s="27" t="n">
        <f aca="false">M15*$C$7</f>
        <v>47481</v>
      </c>
      <c r="N17" s="27" t="n">
        <f aca="false">N15*$C$7</f>
        <v>50979.6</v>
      </c>
    </row>
    <row r="18" customFormat="false" ht="15" hidden="false" customHeight="false" outlineLevel="0" collapsed="false">
      <c r="B18" s="25" t="s">
        <v>156</v>
      </c>
      <c r="C18" s="27" t="n">
        <f aca="false">C16+C17</f>
        <v>94996</v>
      </c>
      <c r="D18" s="27" t="n">
        <f aca="false">D16+D17</f>
        <v>99744.1</v>
      </c>
      <c r="E18" s="27" t="n">
        <f aca="false">E16+E17</f>
        <v>104492.2</v>
      </c>
      <c r="F18" s="27" t="n">
        <f aca="false">F16+F17</f>
        <v>108990.4</v>
      </c>
      <c r="G18" s="27" t="n">
        <f aca="false">G16+G17</f>
        <v>113488.6</v>
      </c>
      <c r="H18" s="27" t="n">
        <f aca="false">H16+H17</f>
        <v>117736.9</v>
      </c>
      <c r="I18" s="27" t="n">
        <f aca="false">I16+I17</f>
        <v>121985.2</v>
      </c>
      <c r="J18" s="27" t="n">
        <f aca="false">J16+J17</f>
        <v>125983.6</v>
      </c>
      <c r="K18" s="27" t="n">
        <f aca="false">K16+K17</f>
        <v>129982</v>
      </c>
      <c r="L18" s="27" t="n">
        <f aca="false">L16+L17</f>
        <v>133730.5</v>
      </c>
      <c r="M18" s="27" t="n">
        <f aca="false">M16+M17</f>
        <v>137479</v>
      </c>
      <c r="N18" s="27" t="n">
        <f aca="false">N16+N17</f>
        <v>140977.6</v>
      </c>
    </row>
    <row r="19" customFormat="false" ht="15" hidden="false" customHeight="false" outlineLevel="0" collapsed="false">
      <c r="B19" s="25" t="s">
        <v>157</v>
      </c>
      <c r="C19" s="27" t="n">
        <f aca="false">C15*$C$9</f>
        <v>400</v>
      </c>
      <c r="D19" s="27" t="n">
        <f aca="false">D15*$C$9</f>
        <v>780</v>
      </c>
      <c r="E19" s="27" t="n">
        <f aca="false">E15*$C$9</f>
        <v>1160</v>
      </c>
      <c r="F19" s="27" t="n">
        <f aca="false">F15*$C$9</f>
        <v>1520</v>
      </c>
      <c r="G19" s="27" t="n">
        <f aca="false">G15*$C$9</f>
        <v>1880</v>
      </c>
      <c r="H19" s="27" t="n">
        <f aca="false">H15*$C$9</f>
        <v>2220</v>
      </c>
      <c r="I19" s="27" t="n">
        <f aca="false">I15*$C$9</f>
        <v>2560</v>
      </c>
      <c r="J19" s="27" t="n">
        <f aca="false">J15*$C$9</f>
        <v>2880</v>
      </c>
      <c r="K19" s="27" t="n">
        <f aca="false">K15*$C$9</f>
        <v>3200</v>
      </c>
      <c r="L19" s="27" t="n">
        <f aca="false">L15*$C$9</f>
        <v>3500</v>
      </c>
      <c r="M19" s="27" t="n">
        <f aca="false">M15*$C$9</f>
        <v>3800</v>
      </c>
      <c r="N19" s="27" t="n">
        <f aca="false">N15*$C$9</f>
        <v>4080</v>
      </c>
    </row>
    <row r="20" customFormat="false" ht="15" hidden="false" customHeight="false" outlineLevel="0" collapsed="false">
      <c r="B20" s="25" t="s">
        <v>158</v>
      </c>
      <c r="C20" s="27" t="n">
        <f aca="false">C18-C19</f>
        <v>94596</v>
      </c>
      <c r="D20" s="27" t="n">
        <f aca="false">D18-D19</f>
        <v>98964.1</v>
      </c>
      <c r="E20" s="27" t="n">
        <f aca="false">E18-E19</f>
        <v>103332.2</v>
      </c>
      <c r="F20" s="27" t="n">
        <f aca="false">F18-F19</f>
        <v>107470.4</v>
      </c>
      <c r="G20" s="27" t="n">
        <f aca="false">G18-G19</f>
        <v>111608.6</v>
      </c>
      <c r="H20" s="27" t="n">
        <f aca="false">H18-H19</f>
        <v>115516.9</v>
      </c>
      <c r="I20" s="27" t="n">
        <f aca="false">I18-I19</f>
        <v>119425.2</v>
      </c>
      <c r="J20" s="27" t="n">
        <f aca="false">J18-J19</f>
        <v>123103.6</v>
      </c>
      <c r="K20" s="27" t="n">
        <f aca="false">K18-K19</f>
        <v>126782</v>
      </c>
      <c r="L20" s="27" t="n">
        <f aca="false">L18-L19</f>
        <v>130230.5</v>
      </c>
      <c r="M20" s="27" t="n">
        <f aca="false">M18-M19</f>
        <v>133679</v>
      </c>
      <c r="N20" s="27" t="n">
        <f aca="false">N18-N19</f>
        <v>136897.6</v>
      </c>
    </row>
    <row r="21" customFormat="false" ht="15" hidden="false" customHeight="false" outlineLevel="0" collapsed="false">
      <c r="B21" s="25" t="s">
        <v>159</v>
      </c>
      <c r="C21" s="27" t="n">
        <f aca="false">C17</f>
        <v>4998</v>
      </c>
      <c r="D21" s="27" t="n">
        <f aca="false">D17</f>
        <v>9746.1</v>
      </c>
      <c r="E21" s="27" t="n">
        <f aca="false">E17</f>
        <v>14494.2</v>
      </c>
      <c r="F21" s="27" t="n">
        <f aca="false">F17</f>
        <v>18992.4</v>
      </c>
      <c r="G21" s="27" t="n">
        <f aca="false">G17</f>
        <v>23490.6</v>
      </c>
      <c r="H21" s="27" t="n">
        <f aca="false">H17</f>
        <v>27738.9</v>
      </c>
      <c r="I21" s="27" t="n">
        <f aca="false">I17</f>
        <v>31987.2</v>
      </c>
      <c r="J21" s="27" t="n">
        <f aca="false">J17</f>
        <v>35985.6</v>
      </c>
      <c r="K21" s="27" t="n">
        <f aca="false">K17</f>
        <v>39984</v>
      </c>
      <c r="L21" s="27" t="n">
        <f aca="false">L17</f>
        <v>43732.5</v>
      </c>
      <c r="M21" s="27" t="n">
        <f aca="false">M17</f>
        <v>47481</v>
      </c>
      <c r="N21" s="27" t="n">
        <f aca="false">N17</f>
        <v>50979.6</v>
      </c>
    </row>
    <row r="22" customFormat="false" ht="15" hidden="false" customHeight="false" outlineLevel="0" collapsed="false">
      <c r="B22" s="25" t="s">
        <v>160</v>
      </c>
      <c r="C22" s="27" t="n">
        <f aca="false">C21*12</f>
        <v>59976</v>
      </c>
      <c r="D22" s="27" t="n">
        <f aca="false">D21*12</f>
        <v>116953.2</v>
      </c>
      <c r="E22" s="27" t="n">
        <f aca="false">E21*12</f>
        <v>173930.4</v>
      </c>
      <c r="F22" s="27" t="n">
        <f aca="false">F21*12</f>
        <v>227908.8</v>
      </c>
      <c r="G22" s="27" t="n">
        <f aca="false">G21*12</f>
        <v>281887.2</v>
      </c>
      <c r="H22" s="27" t="n">
        <f aca="false">H21*12</f>
        <v>332866.8</v>
      </c>
      <c r="I22" s="27" t="n">
        <f aca="false">I21*12</f>
        <v>383846.4</v>
      </c>
      <c r="J22" s="27" t="n">
        <f aca="false">J21*12</f>
        <v>431827.2</v>
      </c>
      <c r="K22" s="27" t="n">
        <f aca="false">K21*12</f>
        <v>479808</v>
      </c>
      <c r="L22" s="27" t="n">
        <f aca="false">L21*12</f>
        <v>524790</v>
      </c>
      <c r="M22" s="27" t="n">
        <f aca="false">M21*12</f>
        <v>569772</v>
      </c>
      <c r="N22" s="27" t="n">
        <f aca="false">N21*12</f>
        <v>611755.2</v>
      </c>
    </row>
    <row r="24" customFormat="false" ht="15" hidden="false" customHeight="false" outlineLevel="0" collapsed="false">
      <c r="B24" s="18" t="s">
        <v>161</v>
      </c>
    </row>
    <row r="25" customFormat="false" ht="15" hidden="false" customHeight="false" outlineLevel="0" collapsed="false">
      <c r="B25" s="3" t="s">
        <v>162</v>
      </c>
      <c r="C25" s="22" t="n">
        <f aca="false">SUM(C18:N18)</f>
        <v>1429586.1</v>
      </c>
    </row>
    <row r="26" customFormat="false" ht="15" hidden="false" customHeight="false" outlineLevel="0" collapsed="false">
      <c r="B26" s="3" t="s">
        <v>163</v>
      </c>
      <c r="C26" s="22" t="n">
        <f aca="false">SUM(C20:N20)</f>
        <v>1401606.1</v>
      </c>
    </row>
    <row r="27" customFormat="false" ht="15" hidden="false" customHeight="false" outlineLevel="0" collapsed="false">
      <c r="B27" s="3" t="s">
        <v>164</v>
      </c>
      <c r="C27" s="22" t="n">
        <f aca="false">N21</f>
        <v>50979.6</v>
      </c>
    </row>
    <row r="28" customFormat="false" ht="15" hidden="false" customHeight="false" outlineLevel="0" collapsed="false">
      <c r="B28" s="3" t="s">
        <v>165</v>
      </c>
      <c r="C28" s="22" t="n">
        <f aca="false">N22</f>
        <v>611755.2</v>
      </c>
    </row>
    <row r="30" customFormat="false" ht="15" hidden="false" customHeight="false" outlineLevel="0" collapsed="false">
      <c r="B30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24" hidden="false" customHeight="true" outlineLevel="0" collapsed="false">
      <c r="A1" s="1" t="s">
        <v>11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B4" s="11" t="s">
        <v>168</v>
      </c>
    </row>
    <row r="5" customFormat="false" ht="15" hidden="false" customHeight="false" outlineLevel="0" collapsed="false">
      <c r="B5" s="12" t="s">
        <v>169</v>
      </c>
      <c r="C5" s="10" t="n">
        <f aca="false">COUNTIF(Pipeline!$O$5:$O$204,"Not Contacted")</f>
        <v>0</v>
      </c>
    </row>
    <row r="6" customFormat="false" ht="15" hidden="false" customHeight="false" outlineLevel="0" collapsed="false">
      <c r="B6" s="12" t="s">
        <v>170</v>
      </c>
      <c r="C6" s="10" t="n">
        <f aca="false">COUNTIF(Pipeline!$O$5:$O$204,"Contacted")</f>
        <v>0</v>
      </c>
    </row>
    <row r="7" customFormat="false" ht="15" hidden="false" customHeight="false" outlineLevel="0" collapsed="false">
      <c r="B7" s="12" t="s">
        <v>171</v>
      </c>
      <c r="C7" s="10" t="n">
        <f aca="false">COUNTIF(Pipeline!$O$5:$O$204,"Replied")</f>
        <v>0</v>
      </c>
    </row>
    <row r="8" customFormat="false" ht="15" hidden="false" customHeight="false" outlineLevel="0" collapsed="false">
      <c r="B8" s="12" t="s">
        <v>65</v>
      </c>
      <c r="C8" s="10" t="n">
        <f aca="false">COUNTIF(Pipeline!$O$5:$O$204,"Demo Booked")</f>
        <v>1</v>
      </c>
    </row>
    <row r="9" customFormat="false" ht="15" hidden="false" customHeight="false" outlineLevel="0" collapsed="false">
      <c r="B9" s="12" t="s">
        <v>172</v>
      </c>
      <c r="C9" s="10" t="n">
        <f aca="false">COUNTIF(Pipeline!$O$5:$O$204,"Demo Done")</f>
        <v>0</v>
      </c>
    </row>
    <row r="10" customFormat="false" ht="15" hidden="false" customHeight="false" outlineLevel="0" collapsed="false">
      <c r="B10" s="12" t="s">
        <v>173</v>
      </c>
      <c r="C10" s="10" t="n">
        <f aca="false">COUNTIF(Pipeline!$O$5:$O$204,"Proposal Sent")</f>
        <v>0</v>
      </c>
    </row>
    <row r="11" customFormat="false" ht="15" hidden="false" customHeight="false" outlineLevel="0" collapsed="false">
      <c r="B11" s="12" t="s">
        <v>174</v>
      </c>
      <c r="C11" s="10" t="n">
        <f aca="false">COUNTIF(Pipeline!$O$5:$O$204,"Closed Won")</f>
        <v>0</v>
      </c>
    </row>
    <row r="12" customFormat="false" ht="15" hidden="false" customHeight="false" outlineLevel="0" collapsed="false">
      <c r="B12" s="12" t="s">
        <v>175</v>
      </c>
      <c r="C12" s="10" t="n">
        <f aca="false">COUNTIF(Pipeline!$O$5:$O$204,"Closed Lost")</f>
        <v>0</v>
      </c>
    </row>
    <row r="13" customFormat="false" ht="15" hidden="false" customHeight="false" outlineLevel="0" collapsed="false">
      <c r="B13" s="12" t="s">
        <v>176</v>
      </c>
      <c r="C13" s="10" t="n">
        <f aca="false">COUNTIF(Pipeline!$O$5:$O$204,"Nurture")</f>
        <v>0</v>
      </c>
    </row>
    <row r="14" customFormat="false" ht="15" hidden="false" customHeight="false" outlineLevel="0" collapsed="false">
      <c r="B14" s="3" t="s">
        <v>177</v>
      </c>
      <c r="C14" s="28" t="n">
        <f aca="false">COUNTA(Pipeline!$A$5:$A$204)</f>
        <v>1</v>
      </c>
    </row>
    <row r="16" customFormat="false" ht="15" hidden="false" customHeight="false" outlineLevel="0" collapsed="false">
      <c r="B16" s="11" t="s">
        <v>178</v>
      </c>
    </row>
    <row r="17" customFormat="false" ht="15" hidden="false" customHeight="false" outlineLevel="0" collapsed="false">
      <c r="B17" s="12" t="s">
        <v>179</v>
      </c>
      <c r="C17" s="29" t="n">
        <f aca="false">IFERROR((C7+C8+C9+C10+C11)/(C6+C7+C8+C9+C10+C11+C12),0)</f>
        <v>1</v>
      </c>
      <c r="D17" s="2" t="s">
        <v>180</v>
      </c>
    </row>
    <row r="18" customFormat="false" ht="15" hidden="false" customHeight="false" outlineLevel="0" collapsed="false">
      <c r="B18" s="12" t="s">
        <v>181</v>
      </c>
      <c r="C18" s="29" t="n">
        <f aca="false">IFERROR((C8+C9+C10+C11)/(C7+C8+C9+C10+C11+C12),0)</f>
        <v>1</v>
      </c>
      <c r="D18" s="2" t="s">
        <v>182</v>
      </c>
    </row>
    <row r="19" customFormat="false" ht="15" hidden="false" customHeight="false" outlineLevel="0" collapsed="false">
      <c r="B19" s="12" t="s">
        <v>183</v>
      </c>
      <c r="C19" s="29" t="n">
        <f aca="false">IFERROR(C11/(C9+C10+C11+C12),0)</f>
        <v>0</v>
      </c>
      <c r="D19" s="2" t="s">
        <v>184</v>
      </c>
    </row>
    <row r="20" customFormat="false" ht="15" hidden="false" customHeight="false" outlineLevel="0" collapsed="false">
      <c r="B20" s="12" t="s">
        <v>185</v>
      </c>
      <c r="C20" s="29" t="n">
        <f aca="false">IFERROR(C11/C14,0)</f>
        <v>0</v>
      </c>
      <c r="D20" s="2" t="s">
        <v>186</v>
      </c>
    </row>
    <row r="23" customFormat="false" ht="15" hidden="false" customHeight="false" outlineLevel="0" collapsed="false">
      <c r="B23" s="11" t="s">
        <v>187</v>
      </c>
    </row>
    <row r="24" customFormat="false" ht="15" hidden="false" customHeight="false" outlineLevel="0" collapsed="false">
      <c r="B24" s="12" t="s">
        <v>188</v>
      </c>
      <c r="C24" s="22" t="n">
        <f aca="false">SUMIF(Pipeline!$O$5:$O$204,"Closed Won",Pipeline!$L$5:$L$204)</f>
        <v>0</v>
      </c>
      <c r="D24" s="2" t="s">
        <v>189</v>
      </c>
    </row>
    <row r="25" customFormat="false" ht="15" hidden="false" customHeight="false" outlineLevel="0" collapsed="false">
      <c r="B25" s="12" t="s">
        <v>190</v>
      </c>
      <c r="C25" s="22" t="n">
        <f aca="false">SUMIF(Pipeline!$O$5:$O$204,"Closed Won",Pipeline!$M$5:$M$204)</f>
        <v>0</v>
      </c>
      <c r="D25" s="2" t="s">
        <v>191</v>
      </c>
    </row>
    <row r="26" customFormat="false" ht="15" hidden="false" customHeight="false" outlineLevel="0" collapsed="false">
      <c r="B26" s="12" t="s">
        <v>192</v>
      </c>
      <c r="C26" s="22" t="n">
        <f aca="false">C24*12</f>
        <v>0</v>
      </c>
      <c r="D26" s="2" t="s">
        <v>193</v>
      </c>
    </row>
    <row r="27" customFormat="false" ht="15" hidden="false" customHeight="false" outlineLevel="0" collapsed="false">
      <c r="B27" s="12" t="s">
        <v>194</v>
      </c>
      <c r="C27" s="22" t="n">
        <f aca="false">SUMIF(Pipeline!$O$5:$O$204,"Closed Won",Pipeline!$N$5:$N$204)</f>
        <v>0</v>
      </c>
      <c r="D27" s="2" t="s">
        <v>195</v>
      </c>
    </row>
    <row r="28" customFormat="false" ht="15" hidden="false" customHeight="false" outlineLevel="0" collapsed="false">
      <c r="B28" s="12" t="s">
        <v>196</v>
      </c>
      <c r="C28" s="22" t="n">
        <f aca="false">SUMIFS(Pipeline!$N$5:$N$204,Pipeline!$O$5:$O$204,"&lt;&gt;Closed Won",Pipeline!$O$5:$O$204,"&lt;&gt;Closed Lost")</f>
        <v>74987</v>
      </c>
      <c r="D28" s="2" t="s">
        <v>197</v>
      </c>
    </row>
    <row r="29" customFormat="false" ht="15" hidden="false" customHeight="false" outlineLevel="0" collapsed="false">
      <c r="B29" s="12" t="s">
        <v>198</v>
      </c>
      <c r="C29" s="22" t="n">
        <f aca="false">IFERROR(C26/C11,0)</f>
        <v>0</v>
      </c>
      <c r="D29" s="2" t="s">
        <v>199</v>
      </c>
    </row>
    <row r="32" customFormat="false" ht="15" hidden="false" customHeight="false" outlineLevel="0" collapsed="false">
      <c r="B32" s="11" t="s">
        <v>200</v>
      </c>
    </row>
    <row r="33" customFormat="false" ht="15" hidden="false" customHeight="false" outlineLevel="0" collapsed="false">
      <c r="B33" s="12" t="s">
        <v>201</v>
      </c>
      <c r="C33" s="10" t="n">
        <f aca="false">COUNTA(Pipeline!$P$5:$P$204)</f>
        <v>1</v>
      </c>
      <c r="D33" s="2" t="s">
        <v>202</v>
      </c>
    </row>
    <row r="34" customFormat="false" ht="15" hidden="false" customHeight="false" outlineLevel="0" collapsed="false">
      <c r="B34" s="12" t="s">
        <v>203</v>
      </c>
      <c r="C34" s="10" t="n">
        <f aca="false">MAX(0,C14-C6-C11-C12-C33)</f>
        <v>0</v>
      </c>
      <c r="D34" s="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2026-08-06T13:53:51Z</dcterms:created>
  <dc:creator>openpyxl</dc:creator>
  <dc:description/>
  <dc:language>en-US</dc:language>
  <cp:lastModifiedBy/>
  <dcterms:modified xsi:type="dcterms:W3CDTF">2026-08-06T13:53:51Z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